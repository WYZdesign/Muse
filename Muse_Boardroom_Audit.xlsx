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Full Rubric (1000)" sheetId="2" state="visible" r:id="rId4"/>
    <sheet name="Category Scor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<sst xmlns="http://schemas.openxmlformats.org/spreadsheetml/2006/main" count="372" uniqueCount="271">
  <si>
    <t xml:space="preserve">MUSE — BOARDROOM INVESTOR / MARKET AUDIT</t>
  </si>
  <si>
    <t xml:space="preserve">Prepared by Claude, in the role of outside investor / inspector / auditor</t>
  </si>
  <si>
    <t xml:space="preserve">Methodology note: this is a qualitative expert-opinion audit grounded in Muse's own internal strategy/product documentation (MUSE_OVERVIEW.md, MUSE_MONEY.md, MUSE_DEMOGRAPHICS_DEMAND.md, MUSE_GAPS_ADJUSTMENTS.md, MUSE_CLAUDE_CRITIQUE.md, STRATEGY.md, COMPETITIVE_UX_REPORT.md) plus this engagement's own live product testing — NOT real financial statements, market research, or third-party diligence. It is opinion, not licensed investment or legal advice, and should not be the sole basis for any funding, valuation, or go/no-go decision.</t>
  </si>
  <si>
    <t xml:space="preserve">Structure: 10 categories x 10 subcategories = 100 independently-reasoned scores (see 'Category Scores' and 'Full Rubric' tabs). Each subcategory score is itself the average of 10 standard evaluation lenses (Strength, Differentiation, Evidence, User Value, Revenue Relevance, Risk, Scalability, Cost-to-Fix, Timing, Investor Optics) — decomposed mechanically per category-level patterns rather than 1,000 separately hand-written judgments, which would have manufactured false precision at this stage of the company. The 100 subcategory scores are the real analysis; the full 1,000-cell grid is there for anyone who wants to see how each one breaks down.</t>
  </si>
  <si>
    <t xml:space="preserve">THE HEADLINE VERDICT</t>
  </si>
  <si>
    <t xml:space="preserve">Overall score: see 'Category Scores' tab, cell C12 (auto-calculated, currently ~6.0/10). That number lines up almost exactly with the team's own internal verdict: 'works, not platinum.' This is a genuinely well-conceived, well-documented, honestly self-critical product with real differentiated safety/escrow engineering and a rare pre-launch distribution asset (FD Photo Studio + a running 3-city Mixers community) — sitting on top of zero revenue, zero measured users, a live positioning tension the product hasn't yet resolved visually, and several compliance items that are built but not yet legally or regulatorily cleared.</t>
  </si>
  <si>
    <t xml:space="preserve">THE GOOD</t>
  </si>
  <si>
    <t xml:space="preserve">• The trust/transaction wedge is real and defensible on paper — verification + consent + escrow + check-ins is a genuine, differentiated moat nobody named as a competitor fully owns.</t>
  </si>
  <si>
    <t xml:space="preserve">• FD Photo Studio + LA/NYC/Chicago Mixers is a rare, pre-launch, real-world distribution and supply advantage most marketplaces never get before day one.</t>
  </si>
  <si>
    <t xml:space="preserve">• The internal documentation discipline (7+ consistent strategy docs, an honest gaps list, a competitive field report) is more mature than most funded seed-stage startups produce.</t>
  </si>
  <si>
    <t xml:space="preserve">• The payment engineering (Stripe Connect manual-capture escrow, auto-capture safety cron, refund/dispute workflow) is genuinely production-grade, not demo-grade.</t>
  </si>
  <si>
    <t xml:space="preserve">• Execution velocity is fast and iterative — bugs get found, fixed, tested, and shipped within hours across this engagement.</t>
  </si>
  <si>
    <t xml:space="preserve">THE BAD</t>
  </si>
  <si>
    <t xml:space="preserve">• Zero revenue, zero measured users, zero unit economics, zero burn/runway visibility — this is a pre-seed risk profile and should be presented to anyone as exactly that.</t>
  </si>
  <si>
    <t xml:space="preserve">• Discovery still leans on demo/seed data in parts of the experience; the team's own docs call real supply 'the single most important gap.'</t>
  </si>
  <si>
    <t xml:space="preserve">• The host-onboarding requirement (Stripe Connect) sits directly on top of the entire booking-to-money path and is self-identified as the #1 monetization friction.</t>
  </si>
  <si>
    <t xml:space="preserve">• No analytics/funnel instrumentation confirmed live — you can't optimize what you can't measure, and the team knows it.</t>
  </si>
  <si>
    <t xml:space="preserve">• Two named studio partners (Apex, Hubble) are listed with real pricing in the live product while explicitly NOT yet partnered — a real optics/trust risk if a user or journalist notices.</t>
  </si>
  <si>
    <t xml:space="preserve">THE UGLY</t>
  </si>
  <si>
    <t xml:space="preserve">• The dating-app-drift risk isn't hypothetical: this engagement's own screenshots show swipe cards, a %-match badge, and heart/pass buttons on the primary Discover screen — precisely the visual language the strategy doc says to avoid.</t>
  </si>
  <si>
    <t xml:space="preserve">• This single audit session found FOUR separately visible, live, user-facing bugs on one screen in one sitting (a wrongly-boxed badge row, a stretched match% bar, a literal '0' rendering on-screen, and a black-on-black action button) — a real signal about pre-ship visual QA.</t>
  </si>
  <si>
    <t xml:space="preserve">• The NCMEC/CSAM pipeline is code-complete but not legally live — 'armed but not live' is the team's own phrase for the single biggest compliance exposure in the current window.</t>
  </si>
  <si>
    <t xml:space="preserve">• The trust-data-as-a-credit-bureau long-term vision carries a self-flagged, unresolved Fair Credit Reporting Act exposure if it's ever pursued without an actual attorney in the room first.</t>
  </si>
  <si>
    <t xml:space="preserve">THE BEAUTIFUL / ABSOLUTELY AMAZING</t>
  </si>
  <si>
    <t xml:space="preserve">• The two-sided duality insight — behind-camera and in-front-of-camera creatives needing each other, surfaced as the opposite side first — is a genuinely elegant structural idea. Supply and demand are the same people, choosing each other.</t>
  </si>
  <si>
    <t xml:space="preserve">• 'Be seen, be made into art, be someone's muse' as the brand core instead of 'efficiency' is a real, ownable emotional differentiator that Fiverr and Upwork structurally cannot claim.</t>
  </si>
  <si>
    <t xml:space="preserve">• The mutual pre-shoot disclosure/consent mechanism is, per this engagement's own competitive research, something literally nothing else in this vertical has built.</t>
  </si>
  <si>
    <t xml:space="preserve">THE TERRIBLE / CATASTROPHIC (if unaddressed)</t>
  </si>
  <si>
    <t xml:space="preserve">• If the vibe-matching / dating-app visual language ships to industry buyers unchanged, it can quietly poison the B2B trust story the whole 15%-take business model depends on — this is a slow, compounding risk, not a sudden one.</t>
  </si>
  <si>
    <t xml:space="preserve">• If a real safety incident occurs before the digital safety stack has been independently stress-tested (not just code-reviewed), the reputational and legal fallout for a company whose entire brand IS safety would be close to existential — the strategy doc says this almost verbatim.</t>
  </si>
  <si>
    <t xml:space="preserve">• If Muse ever monetizes accumulated trust/reputation data for third-party eligibility decisions without clearing the FCRA question first, that is a regulatory landmine the team has already, correctly, flagged for itself.</t>
  </si>
  <si>
    <t xml:space="preserve">BOTTOM LINE</t>
  </si>
  <si>
    <t xml:space="preserve">As an outside investor/auditor: this is a fundable STORY at the earliest possible stage — a real wedge, a real founder-market fit, a rare distribution asset, and unusually honest internal self-assessment — but it is not yet a fundable BUSINESS. The very next milestones that would change this verdict are exactly the ones the team has already named for itself: seed real supply in one city, close the host-onboarding gap, instrument transactions (not signups), clear NCMEC + attorney review, and resolve the dating-app visual tension before it reaches an industry buyer's screen. None of these are hard technically. All of them are prerequisites, not nice-to-haves, before this becomes a number an investor could actually underwrite.</t>
  </si>
  <si>
    <t xml:space="preserve">Category</t>
  </si>
  <si>
    <t xml:space="preserve">Subcategory</t>
  </si>
  <si>
    <t xml:space="preserve">Subcategory Score (avg of lenses)</t>
  </si>
  <si>
    <t xml:space="preserve">Strength as-is</t>
  </si>
  <si>
    <t xml:space="preserve">Differentiation</t>
  </si>
  <si>
    <t xml:space="preserve">Evidence/Confidence</t>
  </si>
  <si>
    <t xml:space="preserve">User Value/Impact</t>
  </si>
  <si>
    <t xml:space="preserve">Revenue Relevance</t>
  </si>
  <si>
    <t xml:space="preserve">Risk Exposure (10=low risk)</t>
  </si>
  <si>
    <t xml:space="preserve">Scalability</t>
  </si>
  <si>
    <t xml:space="preserve">Cost/Effort to Fix (10=cheap)</t>
  </si>
  <si>
    <t xml:space="preserve">Trend/Timing Alignment</t>
  </si>
  <si>
    <t xml:space="preserve">Investor Optics</t>
  </si>
  <si>
    <t xml:space="preserve">Note (rationale)</t>
  </si>
  <si>
    <t xml:space="preserve">1. Concept, Thesis &amp; Positioning</t>
  </si>
  <si>
    <t xml:space="preserve">Core thesis clarity</t>
  </si>
  <si>
    <t xml:space="preserve">Unusually clear, consistent one-liner across every doc: 'the verified, consented, protected marketplace for creative shoots.'</t>
  </si>
  <si>
    <t xml:space="preserve">Problem-solution fit</t>
  </si>
  <si>
    <t xml:space="preserve">The FB-groups/DM/Venmo problem is real and specific; the solution maps to it directly, not abstractly.</t>
  </si>
  <si>
    <t xml:space="preserve">Brand &amp; emotional positioning</t>
  </si>
  <si>
    <t xml:space="preserve">'Be seen, be made into art' is a genuine dignity-play differentiator vs. Fiverr/Upwork's efficiency framing.</t>
  </si>
  <si>
    <t xml:space="preserve">Naming &amp; identity ('Muse')</t>
  </si>
  <si>
    <t xml:space="preserve">Evocative, but a common word — thin ground for trademark/SEO defensibility.</t>
  </si>
  <si>
    <t xml:space="preserve">Category definition</t>
  </si>
  <si>
    <t xml:space="preserve">Clear on paper as 'not dating, not a job board' — but see 1.6.</t>
  </si>
  <si>
    <t xml:space="preserve">Positioning discipline vs. dating-app drift</t>
  </si>
  <si>
    <t xml:space="preserve">Stated discipline is strong; the live UI (swipe cards, %-match badges, heart/nope buttons, zodiac) visually contradicts it — the docs' own #1 self-flagged risk, confirmed live.</t>
  </si>
  <si>
    <t xml:space="preserve">Two-sided duality insight</t>
  </si>
  <si>
    <t xml:space="preserve">Genuinely clever structural idea: supply and demand are the same people choosing each other.</t>
  </si>
  <si>
    <t xml:space="preserve">Vibe/personality matching (zodiac/MBTI)</t>
  </si>
  <si>
    <t xml:space="preserve">Repeatedly self-flagged as the single biggest strategic tension — charming for retail creatives, actively undermines industry-buyer trust.</t>
  </si>
  <si>
    <t xml:space="preserve">Narrative consistency across docs</t>
  </si>
  <si>
    <t xml:space="preserve">Rare internal alignment across 7+ strategy documents — a real discipline strength.</t>
  </si>
  <si>
    <t xml:space="preserve">Long-term vision (trust-data-as-credit-bureau)</t>
  </si>
  <si>
    <t xml:space="preserve">Bold and interesting, but self-flagged FCRA exposure if pursued carelessly; correctly sequenced as 'not now.'</t>
  </si>
  <si>
    <t xml:space="preserve">2. Market Opportunity &amp; Demand</t>
  </si>
  <si>
    <t xml:space="preserve">TAM/SAM/SOM definition</t>
  </si>
  <si>
    <t xml:space="preserve">No market sizing exists anywhere in the reviewed docs. STRATEGY.md itself says any figure at 0 users/0 revenue is speculation.</t>
  </si>
  <si>
    <t xml:space="preserve">Informal market as proof of demand</t>
  </si>
  <si>
    <t xml:space="preserve">FB groups/DMs/Venmo 'at massive scale' is a genuinely strong informal-demand signal — Craigslist/Airbnb-style whitespace.</t>
  </si>
  <si>
    <t xml:space="preserve">Buyer segmentation clarity</t>
  </si>
  <si>
    <t xml:space="preserve">Crew / talent / industry segmentation is specific and sourced from real product taxonomy, not generic personas.</t>
  </si>
  <si>
    <t xml:space="preserve">Geographic focus &amp; expansion ladder</t>
  </si>
  <si>
    <t xml:space="preserve">LA/NYC/Chicago via a real offline community, sequenced sensibly to adjacent verticals.</t>
  </si>
  <si>
    <t xml:space="preserve">Demand validated vs. assumed</t>
  </si>
  <si>
    <t xml:space="preserve">Admirably honest self-framing ('demand for the trust layer, not yet for Muse') — but honesty doesn't make it validated.</t>
  </si>
  <si>
    <t xml:space="preserve">Timing thesis (creator economy / anti-AI)</t>
  </si>
  <si>
    <t xml:space="preserve">Compelling narrative, explicitly labeled by the docs as 'narrative, not measured data.'</t>
  </si>
  <si>
    <t xml:space="preserve">Market size evidence quality</t>
  </si>
  <si>
    <t xml:space="preserve">Zero cited third-party market-sizing data anywhere in the reviewed materials.</t>
  </si>
  <si>
    <t xml:space="preserve">Founder's unfair distribution assets</t>
  </si>
  <si>
    <t xml:space="preserve">FD Studio + a running 3-city Mixers community is a rare, real, pre-launch distribution advantage.</t>
  </si>
  <si>
    <t xml:space="preserve">Adjacent expansion potential</t>
  </si>
  <si>
    <t xml:space="preserve">MUA/stylist/musician/'normies' ladder is logically sequenced, not hand-wavy.</t>
  </si>
  <si>
    <t xml:space="preserve">Demand measurement discipline</t>
  </si>
  <si>
    <t xml:space="preserve">Explicit, repeated commitment to measure transactions, not signups — the right instinct, rare this early.</t>
  </si>
  <si>
    <t xml:space="preserve">3. Business Model &amp; Monetization</t>
  </si>
  <si>
    <t xml:space="preserve">Revenue stream diversity</t>
  </si>
  <si>
    <t xml:space="preserve">Subscriptions + take rate + boosts + growth levers is a mature multi-stream design for a pre-revenue product.</t>
  </si>
  <si>
    <t xml:space="preserve">Take-rate structure &amp; transparency</t>
  </si>
  <si>
    <t xml:space="preserve">15% blended, itemized, split both sides (7% host / 8% buyer) — defensible and unusually transparent vs. buried-fee norms.</t>
  </si>
  <si>
    <t xml:space="preserve">Subscription tier pricing</t>
  </si>
  <si>
    <t xml:space="preserve">Reasonable in absolute terms, but the team's own critique calls the $9.99 Pro tier 'table stakes' — untested against real willingness-to-pay.</t>
  </si>
  <si>
    <t xml:space="preserve">Boost / a-la-carte monetization</t>
  </si>
  <si>
    <t xml:space="preserve">Well-built 3-tier pricing with an idempotent inventory model — shipped, not conceptual.</t>
  </si>
  <si>
    <t xml:space="preserve">TFP funnel-to-paid flywheel</t>
  </si>
  <si>
    <t xml:space="preserve">A well-reasoned acquisition mechanic that mirrors how the real market already behaves.</t>
  </si>
  <si>
    <t xml:space="preserve">Unit economics clarity/evidence</t>
  </si>
  <si>
    <t xml:space="preserve">No CAC, LTV, or contribution-margin data exists anywhere reviewed — cannot be evaluated because it hasn't been measured.</t>
  </si>
  <si>
    <t xml:space="preserve">Payment infrastructure soundness</t>
  </si>
  <si>
    <t xml:space="preserve">Stripe Connect escrow, manual capture, an auto-capture safety cron, and double-payment guards — real, production-grade payment engineering.</t>
  </si>
  <si>
    <t xml:space="preserve">Host-onboarding friction</t>
  </si>
  <si>
    <t xml:space="preserve">Self-identified as 'the #1 friction in the booking-to-money path' — a Stripe Connect onboarding gate blocks the entire revenue engine for unconverted hosts.</t>
  </si>
  <si>
    <t xml:space="preserve">Studio/industry B2B tier potential</t>
  </si>
  <si>
    <t xml:space="preserve">Muse Studio is shipped and sensibly priced; zero evidence yet of real industry-buyer demand.</t>
  </si>
  <si>
    <t xml:space="preserve">Revenue scalability &amp; margin structure</t>
  </si>
  <si>
    <t xml:space="preserve">Take-rate models scale well in theory; margin is untested against real chargebacks/refunds/disputes at volume.</t>
  </si>
  <si>
    <t xml:space="preserve">4. Product Experience &amp; Value Delivery</t>
  </si>
  <si>
    <t xml:space="preserve">Onboarding/verification flow</t>
  </si>
  <si>
    <t xml:space="preserve">Stripe Identity gating is real and functioning; this engagement found and fixed a genuine 500 error in the verification route.</t>
  </si>
  <si>
    <t xml:space="preserve">Discovery &amp; matching UX</t>
  </si>
  <si>
    <t xml:space="preserve">Functionally rich (map, search, grid/list) — but this engagement personally found 4 distinct visible bugs on the primary Discover card in one sitting.</t>
  </si>
  <si>
    <t xml:space="preserve">Booking &amp; transaction flow completeness</t>
  </si>
  <si>
    <t xml:space="preserve">Book -&gt; checkout -&gt; escrow -&gt; complete -&gt; review is fully implemented end-to-end in code, including cancellation/refund paths.</t>
  </si>
  <si>
    <t xml:space="preserve">Safety features (check-ins/disclosure/consent)</t>
  </si>
  <si>
    <t xml:space="preserve">Per the competitive report, genuinely ahead of every named competitor — the product's real crown jewel.</t>
  </si>
  <si>
    <t xml:space="preserve">Portfolio/profile richness</t>
  </si>
  <si>
    <t xml:space="preserve">Albums, access levels, prompts, badges are deep; the competitive report flags two portfolio data sources may have drifted out of sync.</t>
  </si>
  <si>
    <t xml:space="preserve">Gamification (XP/quests/streaks)</t>
  </si>
  <si>
    <t xml:space="preserve">More built-out than most competitors, but gamification on a 'professional safety marketplace' carries the same positioning-risk family as vibe-matching.</t>
  </si>
  <si>
    <t xml:space="preserve">Messaging/communication</t>
  </si>
  <si>
    <t xml:space="preserve">Icebreakers and a message-request inbox exist; no video/voice pre-meet yet (named gap, blocked on a Daily.co key).</t>
  </si>
  <si>
    <t xml:space="preserve">Visual design/polish</t>
  </si>
  <si>
    <t xml:space="preserve">This engagement alone found and fixed, on ONE screen in ONE session: a full-width badge box, a stretched match% bar, a literal '0' rendering on-screen, and a black-on-black button.</t>
  </si>
  <si>
    <t xml:space="preserve">Feature breadth vs. coherence</t>
  </si>
  <si>
    <t xml:space="preserve">Feature-complete almost to a fault. The team's own self-audit calls it exactly right: 'feature-complete but not market-complete.'</t>
  </si>
  <si>
    <t xml:space="preserve">Mobile-first execution quality</t>
  </si>
  <si>
    <t xml:space="preserve">Works on the tested mobile viewport, but a page.tsx monolith (~3,252 lines, 130+ useState calls) is a structural ceiling on how far polish can go without a rewrite.</t>
  </si>
  <si>
    <t xml:space="preserve">5. Competitive Positioning &amp; Moat</t>
  </si>
  <si>
    <t xml:space="preserve">vs. Instagram/Behance/Dribbble</t>
  </si>
  <si>
    <t xml:space="preserve">Correct read: those are discovery-only. Muse's transaction+trust layer is a real, non-overlapping wedge.</t>
  </si>
  <si>
    <t xml:space="preserve">vs. ModelMayhem/PurplePort</t>
  </si>
  <si>
    <t xml:space="preserve">Legitimately dated incumbents; Muse's safety/payment stack is a generation ahead per the competitive field report.</t>
  </si>
  <si>
    <t xml:space="preserve">vs. Peerspace</t>
  </si>
  <si>
    <t xml:space="preserve">A smart, specific wedge — Peerspace owns the space, not talent/consent/settlement. Pitching Peerspace's own hosts is a sharp move.</t>
  </si>
  <si>
    <t xml:space="preserve">vs. Fiverr/Upwork</t>
  </si>
  <si>
    <t xml:space="preserve">Correctly scoped as adjacent, not competing — shoot-specific safety is a real differentiator from generic freelance.</t>
  </si>
  <si>
    <t xml:space="preserve">vs. dating apps</t>
  </si>
  <si>
    <t xml:space="preserve">Not a real competitor, but the self-identified risk that Muse's own UI reads like one is a genuine, confirmed, unforced positioning liability.</t>
  </si>
  <si>
    <t xml:space="preserve">Defensibility of the trust-data moat</t>
  </si>
  <si>
    <t xml:space="preserve">Real in theory, but it only exists once transactions actually run at volume — right now it is a thesis, not yet an asset.</t>
  </si>
  <si>
    <t xml:space="preserve">Feature-level competitive edge</t>
  </si>
  <si>
    <t xml:space="preserve">Check-ins, disclosure, escrow, per-album privacy, live map — a real, verifiable features lead over every named competitor.</t>
  </si>
  <si>
    <t xml:space="preserve">Switching costs for users</t>
  </si>
  <si>
    <t xml:space="preserve">Reviews/reputation create switching cost only after real volume; at low volume, switching cost is effectively zero.</t>
  </si>
  <si>
    <t xml:space="preserve">Barriers to a funded competitor replicating this</t>
  </si>
  <si>
    <t xml:space="preserve">The safety/escrow features are buildable by a well-funded copycat in months; the FD/Mixers supply relationship is the actually hard-to-copy part.</t>
  </si>
  <si>
    <t xml:space="preserve">Category-creation vs. category-fit risk</t>
  </si>
  <si>
    <t xml:space="preserve">Correct strategic instinct — 'the layer nobody owns' rather than out-featuring an incumbent — but category creation is inherently high-risk, high-reward.</t>
  </si>
  <si>
    <t xml:space="preserve">6. Trust, Safety &amp; Compliance</t>
  </si>
  <si>
    <t xml:space="preserve">Identity verification (Stripe Identity)</t>
  </si>
  <si>
    <t xml:space="preserve">Real and shipped; gates NSFW and paid bookings, closing a gap ModelMayhem itself admits it doesn't cover.</t>
  </si>
  <si>
    <t xml:space="preserve">Consent/disclosure mechanism</t>
  </si>
  <si>
    <t xml:space="preserve">Mutual pre-shoot disclosure is, per the competitive report, something nothing else in this space has.</t>
  </si>
  <si>
    <t xml:space="preserve">Escrow/payment protection</t>
  </si>
  <si>
    <t xml:space="preserve">Manual-capture Stripe Connect escrow with an auto-capture safety net is real and well-engineered.</t>
  </si>
  <si>
    <t xml:space="preserve">Safety check-ins/trusted contacts</t>
  </si>
  <si>
    <t xml:space="preserve">Time-boxed, per-party, with location share — exceeds every named competitor, including Bumble.</t>
  </si>
  <si>
    <t xml:space="preserve">Moderation &amp; reporting infrastructure</t>
  </si>
  <si>
    <t xml:space="preserve">Admin dashboard, audit log, and strikes exist; the competitive report flags inconsistent report coverage across BTS/community/events/session listings.</t>
  </si>
  <si>
    <t xml:space="preserve">NCMEC/CSAM compliance readiness</t>
  </si>
  <si>
    <t xml:space="preserve">Self-flagged as 'code-complete but gated on NCMEC ESP approval' — the single biggest compliance risk in the window before approval, by the team's own words.</t>
  </si>
  <si>
    <t xml:space="preserve">NSFW/adult content policy &amp; payment risk</t>
  </si>
  <si>
    <t xml:space="preserve">Hard-blocking paid NSFW is the correct, conservative call given Stripe/App Store/minors exposure — real risk reduction at some monetization cost.</t>
  </si>
  <si>
    <t xml:space="preserve">Liability language discipline</t>
  </si>
  <si>
    <t xml:space="preserve">'Process not outcome' copy discipline is well-documented as policy; whether it's enforced everywhere in the live UI wasn't independently verified in this audit.</t>
  </si>
  <si>
    <t xml:space="preserve">Data privacy &amp; per-album access control</t>
  </si>
  <si>
    <t xml:space="preserve">Public/invite/private with per-match grants is genuinely more granular than Instagram's Close Friends.</t>
  </si>
  <si>
    <t xml:space="preserve">Legal/regulatory exposure</t>
  </si>
  <si>
    <t xml:space="preserve">Attorney review is explicitly still pending; the trust-data-as-credit-bureau vision carries a self-flagged, unresolved FCRA exposure.</t>
  </si>
  <si>
    <t xml:space="preserve">7. Go-to-Market &amp; Growth</t>
  </si>
  <si>
    <t xml:space="preserve">Seed supply strategy</t>
  </si>
  <si>
    <t xml:space="preserve">Concrete, named plan — 20 creatives from Mixers/FB groups before public open — better than 'build it and they will come.'</t>
  </si>
  <si>
    <t xml:space="preserve">Anchor partner strategy (FD Studio)</t>
  </si>
  <si>
    <t xml:space="preserve">A real physical, credentialed partner backed by 3 years of founder history — rare at this stage.</t>
  </si>
  <si>
    <t xml:space="preserve">Multi-city readiness</t>
  </si>
  <si>
    <t xml:space="preserve">LA/NYC/Chicago already meeting IRL pre-launch is a genuine, unusual advantage most marketplaces never get.</t>
  </si>
  <si>
    <t xml:space="preserve">Single-city focus discipline</t>
  </si>
  <si>
    <t xml:space="preserve">Strategy explicitly says pick ONE city first — correct instinct, not yet tested under pressure to 'launch everywhere.'</t>
  </si>
  <si>
    <t xml:space="preserve">Referral/growth loop design</t>
  </si>
  <si>
    <t xml:space="preserve">'Refer 3, get a year of Pro' is a workable, cheap loop with an unproven virality coefficient.</t>
  </si>
  <si>
    <t xml:space="preserve">Studio partnership pipeline (Apex/Hubble)</t>
  </si>
  <si>
    <t xml:space="preserve">Both currently listed as aspirational, not-yet-partnered — real named studios shown to users with pricing before a deal exists is a legitimate optics risk if noticed.</t>
  </si>
  <si>
    <t xml:space="preserve">Marketing narrative &amp; messaging discipline</t>
  </si>
  <si>
    <t xml:space="preserve">The always-say/never-say table is a genuinely mature go-to-market artifact most seed-stage teams don't have written down.</t>
  </si>
  <si>
    <t xml:space="preserve">Community-led growth (Mixers)</t>
  </si>
  <si>
    <t xml:space="preserve">An existing, running, offline community is about the best pre-launch growth asset a two-sided marketplace can have.</t>
  </si>
  <si>
    <t xml:space="preserve">Conversion funnel instrumentation</t>
  </si>
  <si>
    <t xml:space="preserve">No analytics/observability stack confirmed live per the internal audit — a funnel that can't be measured can't be optimized.</t>
  </si>
  <si>
    <t xml:space="preserve">Chicken-and-egg two-sided market solve</t>
  </si>
  <si>
    <t xml:space="preserve">The FD/Mixers asset genuinely helps; discovery still leans on demo data, which the team's own docs call 'the single most important gap.'</t>
  </si>
  <si>
    <t xml:space="preserve">8. Team, Founder &amp; Execution Readiness</t>
  </si>
  <si>
    <t xml:space="preserve">Founder domain expertise</t>
  </si>
  <si>
    <t xml:space="preserve">Three years managing an actual photo studio is exactly the right founder-market fit for this specific wedge.</t>
  </si>
  <si>
    <t xml:space="preserve">Founder's unfair assets leverage</t>
  </si>
  <si>
    <t xml:space="preserve">FD Studio + Mixers are being actively used as the go-to-market spine, not just name-dropped in a deck.</t>
  </si>
  <si>
    <t xml:space="preserve">Technical execution pace</t>
  </si>
  <si>
    <t xml:space="preserve">This engagement alone has watched multiple rounds of real bugs found, fixed, tested, and deployed within hours.</t>
  </si>
  <si>
    <t xml:space="preserve">Engineering quality / production-grade infra</t>
  </si>
  <si>
    <t xml:space="preserve">Security headers, rate limiting, RLS, and Stripe redundancy are real per the prior audit — solid foundations, not a demo.</t>
  </si>
  <si>
    <t xml:space="preserve">Technical debt discipline</t>
  </si>
  <si>
    <t xml:space="preserve">The page.tsx monolith is named by the team's own prior audit as something that should be split BEFORE adding features — and features keep landing on top of it anyway.</t>
  </si>
  <si>
    <t xml:space="preserve">Bug density / QA rigor</t>
  </si>
  <si>
    <t xml:space="preserve">This single audit session found four separately visible, user-facing bugs on one screen in one sitting — a real gap between shipping fast and verifying visually before shipping.</t>
  </si>
  <si>
    <t xml:space="preserve">Use of AI-assisted development</t>
  </si>
  <si>
    <t xml:space="preserve">Two independent AI sessions cross-checking each other's work with a shared handover log is an unusually disciplined process for this scale of team.</t>
  </si>
  <si>
    <t xml:space="preserve">Documentation discipline</t>
  </si>
  <si>
    <t xml:space="preserve">The depth and internal consistency of the strategy/boardroom doc pack is rare at this stage — most seed startups have none of this written down.</t>
  </si>
  <si>
    <t xml:space="preserve">Decision-making responsiveness</t>
  </si>
  <si>
    <t xml:space="preserve">Gaps close fast — the Studio-tier bug, live-ranked discovery, and auto-capture all resolved and marked shipped within the doc trail.</t>
  </si>
  <si>
    <t xml:space="preserve">Team scaling readiness</t>
  </si>
  <si>
    <t xml:space="preserve">Everything observed points to a solo-or-near-solo founder leaning heavily on AI agents for both code and strategy — impressive output per person, real key-person/bus-factor risk.</t>
  </si>
  <si>
    <t xml:space="preserve">9. Financial &amp; Investment Potential</t>
  </si>
  <si>
    <t xml:space="preserve">Revenue stage/reality</t>
  </si>
  <si>
    <t xml:space="preserve">Explicitly $0 revenue, $0 users per the team's own strategy doc — stated plainly, not softened.</t>
  </si>
  <si>
    <t xml:space="preserve">Valuation thesis defensibility</t>
  </si>
  <si>
    <t xml:space="preserve">'Payments/trust story, not a social-graph story' is coherent IF transaction volume ever materializes — a good thesis, not yet a proven one.</t>
  </si>
  <si>
    <t xml:space="preserve">Funding narrative/pitch readiness</t>
  </si>
  <si>
    <t xml:space="preserve">The investor pitch is tight and honest about risk without overselling — rarer and more valuable than it sounds in diligence.</t>
  </si>
  <si>
    <t xml:space="preserve">Capital efficiency</t>
  </si>
  <si>
    <t xml:space="preserve">An enormous amount of shipped product surface for what reads like a very small team/budget.</t>
  </si>
  <si>
    <t xml:space="preserve">Comparable exits/benchmarks credibility</t>
  </si>
  <si>
    <t xml:space="preserve">The only named comparable, Behance's ~$150M Adobe acquisition, is explicitly flagged by the team itself as 'directional upper-bound reference only, not a target.'</t>
  </si>
  <si>
    <t xml:space="preserve">Exit path plausibility</t>
  </si>
  <si>
    <t xml:space="preserve">Peerspace / an agency network / a creator-economy platform are all logical, named acquirers — plausible in category, entirely speculative in timing or price.</t>
  </si>
  <si>
    <t xml:space="preserve">Burn/runway visibility</t>
  </si>
  <si>
    <t xml:space="preserve">No burn rate, runway, or funding-to-date figures appear anywhere in the reviewed materials.</t>
  </si>
  <si>
    <t xml:space="preserve">Investor risk profile</t>
  </si>
  <si>
    <t xml:space="preserve">Pre-revenue, pre-traction, single/near-single founder, open regulatory items — a genuinely high-risk, early-stage profile.</t>
  </si>
  <si>
    <t xml:space="preserve">Follow-on fundability</t>
  </si>
  <si>
    <t xml:space="preserve">No traction metric yet to point to for a next round — the seed-supply/first-transactions plan is the actual prerequisite.</t>
  </si>
  <si>
    <t xml:space="preserve">IPO/going-public realism</t>
  </si>
  <si>
    <t xml:space="preserve">Not applicable at this stage by any reasonable standard — and to the team's credit, nothing in the docs pretends otherwise.</t>
  </si>
  <si>
    <t xml:space="preserve">10. Risk, Governance &amp; Exit Readiness</t>
  </si>
  <si>
    <t xml:space="preserve">Regulatory risk (payments/escrow/adult content)</t>
  </si>
  <si>
    <t xml:space="preserve">Stripe Connect + a hard NSFW-payment block are the right mitigations; the underlying exposure is correctly called 'existential' by the team's own strategy doc.</t>
  </si>
  <si>
    <t xml:space="preserve">Liability/legal exposure</t>
  </si>
  <si>
    <t xml:space="preserve">An attorney handoff document exists, but real legal sign-off is still outstanding on liability language and the FCRA trust-data question.</t>
  </si>
  <si>
    <t xml:space="preserve">Platform risk (Stripe/App Store dependence)</t>
  </si>
  <si>
    <t xml:space="preserve">The entire payment and much of the trust model runs through Stripe policy — a structural dependency, not a diversified one.</t>
  </si>
  <si>
    <t xml:space="preserve">Reputational risk (dating-app drift/incident)</t>
  </si>
  <si>
    <t xml:space="preserve">Self-identified as the #1 positioning risk, and this audit's own screenshots show the risk is currently live in the UI, not just theoretical.</t>
  </si>
  <si>
    <t xml:space="preserve">Operational risk (demo-data marketplace)</t>
  </si>
  <si>
    <t xml:space="preserve">Discovery is now live-ranked against real profiles, a real improvement — but 'is there real supply' remains the team's own named top unresolved gap.</t>
  </si>
  <si>
    <t xml:space="preserve">Scalability risk (infra limits)</t>
  </si>
  <si>
    <t xml:space="preserve">The prior internal audit's own number: readiness drops to about 3/10 at 100k users, breaking first on Supabase connections/RLS and serverless cold starts.</t>
  </si>
  <si>
    <t xml:space="preserve">Key-person risk</t>
  </si>
  <si>
    <t xml:space="preserve">The founder's unfair assets are personal and largely non-transferable — a classic single-founder dependency.</t>
  </si>
  <si>
    <t xml:space="preserve">Compliance readiness (NCMEC)</t>
  </si>
  <si>
    <t xml:space="preserve">Armed but not live, per the team's own critique doc — a real gap between the moderation posture and what's enforceable today.</t>
  </si>
  <si>
    <t xml:space="preserve">Governance/documentation maturity</t>
  </si>
  <si>
    <t xml:space="preserve">The audit trail, admin panel, refund resolution with notes, and this entire strategy/handover doc corpus reflect real organizational discipline.</t>
  </si>
  <si>
    <t xml:space="preserve">Exit optionality &amp; timeline realism</t>
  </si>
  <si>
    <t xml:space="preserve">Named, plausible acquirer categories exist; the docs are honest that no real timeline or figure can be derived yet — appropriately cautious rather than inflated.</t>
  </si>
  <si>
    <t xml:space="preserve">#</t>
  </si>
  <si>
    <t xml:space="preserve">Category Score (avg of 10 subcats)</t>
  </si>
  <si>
    <t xml:space="preserve">Verdict</t>
  </si>
  <si>
    <t xml:space="preserve">A genuinely strong, well-articulated thesis undercut by one unresolved tension: the live product still visually reads like the dating app the strategy explicitly says to avoid.</t>
  </si>
  <si>
    <t xml:space="preserve">Real informal-market proof and a rare distribution asset (FD Mixers) — but no sizing, no third-party validation. Demand for the CATEGORY is proven; demand for MUSE is not yet.</t>
  </si>
  <si>
    <t xml:space="preserve">A mature, multi-stream, well-engineered payment model on paper — with zero unit-economics evidence and a self-identified host-onboarding bottleneck sitting on top of the entire revenue engine.</t>
  </si>
  <si>
    <t xml:space="preserve">The safety/transaction machinery is genuinely best-in-class. The visual polish is not — this one engagement alone found four live, user-visible UI bugs on a single primary screen.</t>
  </si>
  <si>
    <t xml:space="preserve">Smart, correctly-scoped competitive reads across the board. The moat is real in theory but doesn't exist yet — it only accrues once transactions actually run at volume.</t>
  </si>
  <si>
    <t xml:space="preserve">The best category in the whole audit for shipped, working, differentiated features. Two real, self-flagged open items (NCMEC approval, legal sign-off) keep it from a higher score.</t>
  </si>
  <si>
    <t xml:space="preserve">A textbook seed-stage GTM plan riding real offline distribution — weakened by zero funnel instrumentation and two aspirational studio partnerships presented as if they were real.</t>
  </si>
  <si>
    <t xml:space="preserve">Outstanding founder-market fit and documentation discipline, fast iteration — offset by real technical debt, a live bug-density signal, and a classic single-founder scaling risk.</t>
  </si>
  <si>
    <t xml:space="preserve">The weakest category, honestly: $0 revenue, $0 users, no burn/runway data, no comparable exits beyond a directional reference. Correctly, the team's own docs don't oversell this either.</t>
  </si>
  <si>
    <t xml:space="preserve">A cluster of real, named, currently-open risks (regulatory, platform, reputational, scaling, key-person) — balanced by genuinely strong documentation and governance discipline.</t>
  </si>
  <si>
    <t xml:space="preserve">OVERALL AUDIT SCORE</t>
  </si>
</sst>
</file>

<file path=xl/styles.xml><?xml version="1.0" encoding="utf-8"?>
<styleSheet xmlns="http://schemas.openxmlformats.org/spreadsheetml/2006/main">
  <numFmts count="2">
    <numFmt numFmtId="164" formatCode="General"/>
    <numFmt numFmtId="165" formatCode="0.0"/>
  </numFmts>
  <fonts count="23">
    <font>
      <sz val="11"/>
      <color theme="1"/>
      <name val="Calibri"/>
      <family val="2"/>
      <charset val="1"/>
    </font>
    <font>
      <sz val="10"/>
      <name val="Arial"/>
      <family val="0"/>
    </font>
    <font>
      <sz val="10"/>
      <name val="Arial"/>
      <family val="0"/>
    </font>
    <font>
      <sz val="10"/>
      <name val="Arial"/>
      <family val="0"/>
    </font>
    <font>
      <b val="true"/>
      <sz val="18"/>
      <color rgb="FF1F2A44"/>
      <name val="Arial"/>
      <family val="0"/>
      <charset val="1"/>
    </font>
    <font>
      <b val="true"/>
      <sz val="11"/>
      <color rgb="FF6B7280"/>
      <name val="Arial"/>
      <family val="0"/>
      <charset val="1"/>
    </font>
    <font>
      <i val="true"/>
      <sz val="10.5"/>
      <name val="Arial"/>
      <family val="0"/>
      <charset val="1"/>
    </font>
    <font>
      <b val="true"/>
      <sz val="13"/>
      <color rgb="FFB8860B"/>
      <name val="Arial"/>
      <family val="0"/>
      <charset val="1"/>
    </font>
    <font>
      <sz val="10.5"/>
      <name val="Arial"/>
      <family val="0"/>
      <charset val="1"/>
    </font>
    <font>
      <b val="true"/>
      <sz val="13"/>
      <color rgb="FF2E7D32"/>
      <name val="Arial"/>
      <family val="0"/>
      <charset val="1"/>
    </font>
    <font>
      <b val="true"/>
      <sz val="13"/>
      <color rgb="FFB45309"/>
      <name val="Arial"/>
      <family val="0"/>
      <charset val="1"/>
    </font>
    <font>
      <b val="true"/>
      <sz val="13"/>
      <color rgb="FFB91C1C"/>
      <name val="Arial"/>
      <family val="0"/>
      <charset val="1"/>
    </font>
    <font>
      <b val="true"/>
      <sz val="13"/>
      <color rgb="FF6D28D9"/>
      <name val="Arial"/>
      <family val="0"/>
      <charset val="1"/>
    </font>
    <font>
      <b val="true"/>
      <sz val="13"/>
      <color rgb="FF7F1D1D"/>
      <name val="Arial"/>
      <family val="0"/>
      <charset val="1"/>
    </font>
    <font>
      <b val="true"/>
      <sz val="13"/>
      <color rgb="FF1F2A44"/>
      <name val="Arial"/>
      <family val="0"/>
      <charset val="1"/>
    </font>
    <font>
      <b val="true"/>
      <sz val="11"/>
      <color rgb="FFFFFFFF"/>
      <name val="Arial"/>
      <family val="0"/>
      <charset val="1"/>
    </font>
    <font>
      <b val="true"/>
      <sz val="10"/>
      <name val="Arial"/>
      <family val="0"/>
      <charset val="1"/>
    </font>
    <font>
      <sz val="10"/>
      <color rgb="FF0000FF"/>
      <name val="Arial"/>
      <family val="0"/>
      <charset val="1"/>
    </font>
    <font>
      <i val="true"/>
      <sz val="9"/>
      <color rgb="FF6B7280"/>
      <name val="Arial"/>
      <family val="0"/>
      <charset val="1"/>
    </font>
    <font>
      <b val="true"/>
      <sz val="11"/>
      <name val="Arial"/>
      <family val="0"/>
      <charset val="1"/>
    </font>
    <font>
      <sz val="10"/>
      <name val="Arial"/>
      <family val="0"/>
      <charset val="1"/>
    </font>
    <font>
      <b val="true"/>
      <sz val="12"/>
      <name val="Arial"/>
      <family val="0"/>
      <charset val="1"/>
    </font>
    <font>
      <b val="true"/>
      <sz val="14"/>
      <color rgb="FF1F2A44"/>
      <name val="Arial"/>
      <family val="0"/>
      <charset val="1"/>
    </font>
  </fonts>
  <fills count="4">
    <fill>
      <patternFill patternType="none"/>
    </fill>
    <fill>
      <patternFill patternType="gray125"/>
    </fill>
    <fill>
      <patternFill patternType="solid">
        <fgColor rgb="FF1F2A44"/>
        <bgColor rgb="FF003366"/>
      </patternFill>
    </fill>
    <fill>
      <patternFill patternType="solid">
        <fgColor rgb="FFF4F1EA"/>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5" fontId="16"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5" fillId="2" borderId="1" xfId="0" applyFont="true" applyBorder="true" applyAlignment="false" applyProtection="false">
      <alignment horizontal="general" vertical="bottom" textRotation="0" wrapText="false" indent="0" shrinkToFit="false"/>
      <protection locked="true" hidden="false"/>
    </xf>
    <xf numFmtId="165" fontId="19" fillId="0" borderId="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21" fillId="3" borderId="0" xfId="0" applyFont="true" applyBorder="false" applyAlignment="false" applyProtection="false">
      <alignment horizontal="general" vertical="bottom" textRotation="0" wrapText="false" indent="0" shrinkToFit="false"/>
      <protection locked="true" hidden="false"/>
    </xf>
    <xf numFmtId="165" fontId="22"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008080"/>
      <rgbColor rgb="FFC0C0C0"/>
      <rgbColor rgb="FF808080"/>
      <rgbColor rgb="FF9999FF"/>
      <rgbColor rgb="FFB91C1C"/>
      <rgbColor rgb="FFF4F1E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2E7D32"/>
      <rgbColor rgb="FF003300"/>
      <rgbColor rgb="FF333300"/>
      <rgbColor rgb="FF7F1D1D"/>
      <rgbColor rgb="FFB45309"/>
      <rgbColor rgb="FF6D28D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1" customFormat="false" ht="22.05" hidden="false" customHeight="false" outlineLevel="0" collapsed="false">
      <c r="B1" s="1" t="s">
        <v>0</v>
      </c>
    </row>
    <row r="2" customFormat="false" ht="15" hidden="false" customHeight="false" outlineLevel="0" collapsed="false">
      <c r="B2" s="2" t="s">
        <v>1</v>
      </c>
    </row>
    <row r="4" customFormat="false" ht="90" hidden="false" customHeight="true" outlineLevel="0" collapsed="false">
      <c r="B4" s="3" t="s">
        <v>2</v>
      </c>
    </row>
    <row r="5" customFormat="false" ht="105" hidden="false" customHeight="true" outlineLevel="0" collapsed="false">
      <c r="B5" s="3" t="s">
        <v>3</v>
      </c>
    </row>
    <row r="7" customFormat="false" ht="16.15" hidden="false" customHeight="false" outlineLevel="0" collapsed="false">
      <c r="B7" s="4" t="s">
        <v>4</v>
      </c>
    </row>
    <row r="8" customFormat="false" ht="105" hidden="false" customHeight="true" outlineLevel="0" collapsed="false">
      <c r="B8" s="5" t="s">
        <v>5</v>
      </c>
    </row>
    <row r="10" customFormat="false" ht="16.15" hidden="false" customHeight="false" outlineLevel="0" collapsed="false">
      <c r="B10" s="6" t="s">
        <v>6</v>
      </c>
    </row>
    <row r="11" customFormat="false" ht="30" hidden="false" customHeight="true" outlineLevel="0" collapsed="false">
      <c r="B11" s="5" t="s">
        <v>7</v>
      </c>
    </row>
    <row r="12" customFormat="false" ht="30" hidden="false" customHeight="true" outlineLevel="0" collapsed="false">
      <c r="B12" s="5" t="s">
        <v>8</v>
      </c>
    </row>
    <row r="13" customFormat="false" ht="30" hidden="false" customHeight="true" outlineLevel="0" collapsed="false">
      <c r="B13" s="5" t="s">
        <v>9</v>
      </c>
    </row>
    <row r="14" customFormat="false" ht="30" hidden="false" customHeight="true" outlineLevel="0" collapsed="false">
      <c r="B14" s="5" t="s">
        <v>10</v>
      </c>
    </row>
    <row r="15" customFormat="false" ht="30" hidden="false" customHeight="true" outlineLevel="0" collapsed="false">
      <c r="B15" s="5" t="s">
        <v>11</v>
      </c>
    </row>
    <row r="17" customFormat="false" ht="16.15" hidden="false" customHeight="false" outlineLevel="0" collapsed="false">
      <c r="B17" s="7" t="s">
        <v>12</v>
      </c>
    </row>
    <row r="18" customFormat="false" ht="30" hidden="false" customHeight="true" outlineLevel="0" collapsed="false">
      <c r="B18" s="5" t="s">
        <v>13</v>
      </c>
    </row>
    <row r="19" customFormat="false" ht="30" hidden="false" customHeight="true" outlineLevel="0" collapsed="false">
      <c r="B19" s="5" t="s">
        <v>14</v>
      </c>
    </row>
    <row r="20" customFormat="false" ht="30" hidden="false" customHeight="true" outlineLevel="0" collapsed="false">
      <c r="B20" s="5" t="s">
        <v>15</v>
      </c>
    </row>
    <row r="21" customFormat="false" ht="30" hidden="false" customHeight="true" outlineLevel="0" collapsed="false">
      <c r="B21" s="5" t="s">
        <v>16</v>
      </c>
    </row>
    <row r="22" customFormat="false" ht="30" hidden="false" customHeight="true" outlineLevel="0" collapsed="false">
      <c r="B22" s="5" t="s">
        <v>17</v>
      </c>
    </row>
    <row r="24" customFormat="false" ht="16.15" hidden="false" customHeight="false" outlineLevel="0" collapsed="false">
      <c r="B24" s="8" t="s">
        <v>18</v>
      </c>
    </row>
    <row r="25" customFormat="false" ht="45" hidden="false" customHeight="true" outlineLevel="0" collapsed="false">
      <c r="B25" s="5" t="s">
        <v>19</v>
      </c>
    </row>
    <row r="26" customFormat="false" ht="45" hidden="false" customHeight="true" outlineLevel="0" collapsed="false">
      <c r="B26" s="5" t="s">
        <v>20</v>
      </c>
    </row>
    <row r="27" customFormat="false" ht="30" hidden="false" customHeight="true" outlineLevel="0" collapsed="false">
      <c r="B27" s="5" t="s">
        <v>21</v>
      </c>
    </row>
    <row r="28" customFormat="false" ht="30" hidden="false" customHeight="true" outlineLevel="0" collapsed="false">
      <c r="B28" s="5" t="s">
        <v>22</v>
      </c>
    </row>
    <row r="30" customFormat="false" ht="16.15" hidden="false" customHeight="false" outlineLevel="0" collapsed="false">
      <c r="B30" s="9" t="s">
        <v>23</v>
      </c>
    </row>
    <row r="31" customFormat="false" ht="45" hidden="false" customHeight="true" outlineLevel="0" collapsed="false">
      <c r="B31" s="5" t="s">
        <v>24</v>
      </c>
    </row>
    <row r="32" customFormat="false" ht="30" hidden="false" customHeight="true" outlineLevel="0" collapsed="false">
      <c r="B32" s="5" t="s">
        <v>25</v>
      </c>
    </row>
    <row r="33" customFormat="false" ht="30" hidden="false" customHeight="true" outlineLevel="0" collapsed="false">
      <c r="B33" s="5" t="s">
        <v>26</v>
      </c>
    </row>
    <row r="35" customFormat="false" ht="16.15" hidden="false" customHeight="false" outlineLevel="0" collapsed="false">
      <c r="B35" s="10" t="s">
        <v>27</v>
      </c>
    </row>
    <row r="36" customFormat="false" ht="45" hidden="false" customHeight="true" outlineLevel="0" collapsed="false">
      <c r="B36" s="5" t="s">
        <v>28</v>
      </c>
    </row>
    <row r="37" customFormat="false" ht="45" hidden="false" customHeight="true" outlineLevel="0" collapsed="false">
      <c r="B37" s="5" t="s">
        <v>29</v>
      </c>
    </row>
    <row r="38" customFormat="false" ht="45" hidden="false" customHeight="true" outlineLevel="0" collapsed="false">
      <c r="B38" s="5" t="s">
        <v>30</v>
      </c>
    </row>
    <row r="40" customFormat="false" ht="16.15" hidden="false" customHeight="false" outlineLevel="0" collapsed="false">
      <c r="B40" s="11" t="s">
        <v>31</v>
      </c>
    </row>
    <row r="41" customFormat="false" ht="120" hidden="false" customHeight="true" outlineLevel="0" collapsed="false">
      <c r="B41" s="5"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12"/>
    <col collapsed="false" customWidth="true" hidden="false" outlineLevel="0" max="13" min="4" style="0" width="11"/>
    <col collapsed="false" customWidth="true" hidden="false" outlineLevel="0" max="14" min="14" style="0" width="60"/>
  </cols>
  <sheetData>
    <row r="1" customFormat="false" ht="39.75" hidden="false" customHeight="true" outlineLevel="0" collapsed="false">
      <c r="A1" s="12" t="s">
        <v>33</v>
      </c>
      <c r="B1" s="12" t="s">
        <v>34</v>
      </c>
      <c r="C1" s="12" t="s">
        <v>35</v>
      </c>
      <c r="D1" s="12" t="s">
        <v>36</v>
      </c>
      <c r="E1" s="12" t="s">
        <v>37</v>
      </c>
      <c r="F1" s="12" t="s">
        <v>38</v>
      </c>
      <c r="G1" s="12" t="s">
        <v>39</v>
      </c>
      <c r="H1" s="12" t="s">
        <v>40</v>
      </c>
      <c r="I1" s="12" t="s">
        <v>41</v>
      </c>
      <c r="J1" s="12" t="s">
        <v>42</v>
      </c>
      <c r="K1" s="12" t="s">
        <v>43</v>
      </c>
      <c r="L1" s="12" t="s">
        <v>44</v>
      </c>
      <c r="M1" s="12" t="s">
        <v>45</v>
      </c>
      <c r="N1" s="12" t="s">
        <v>46</v>
      </c>
    </row>
    <row r="2" customFormat="false" ht="43.5" hidden="false" customHeight="true" outlineLevel="0" collapsed="false">
      <c r="A2" s="13" t="s">
        <v>47</v>
      </c>
      <c r="B2" s="14" t="s">
        <v>48</v>
      </c>
      <c r="C2" s="15" t="n">
        <f aca="false">AVERAGE(D2:M2)</f>
        <v>9.4</v>
      </c>
      <c r="D2" s="16" t="n">
        <v>10</v>
      </c>
      <c r="E2" s="16" t="n">
        <v>10</v>
      </c>
      <c r="F2" s="16" t="n">
        <v>8</v>
      </c>
      <c r="G2" s="16" t="n">
        <v>10</v>
      </c>
      <c r="H2" s="16" t="n">
        <v>9</v>
      </c>
      <c r="I2" s="16" t="n">
        <v>9</v>
      </c>
      <c r="J2" s="16" t="n">
        <v>9</v>
      </c>
      <c r="K2" s="16" t="n">
        <v>9</v>
      </c>
      <c r="L2" s="16" t="n">
        <v>10</v>
      </c>
      <c r="M2" s="16" t="n">
        <v>10</v>
      </c>
      <c r="N2" s="17" t="s">
        <v>49</v>
      </c>
    </row>
    <row r="3" customFormat="false" ht="43.5" hidden="false" customHeight="true" outlineLevel="0" collapsed="false">
      <c r="A3" s="13" t="s">
        <v>47</v>
      </c>
      <c r="B3" s="14" t="s">
        <v>50</v>
      </c>
      <c r="C3" s="15" t="n">
        <f aca="false">AVERAGE(D3:M3)</f>
        <v>8.5</v>
      </c>
      <c r="D3" s="16" t="n">
        <v>9</v>
      </c>
      <c r="E3" s="16" t="n">
        <v>10</v>
      </c>
      <c r="F3" s="16" t="n">
        <v>7</v>
      </c>
      <c r="G3" s="16" t="n">
        <v>9</v>
      </c>
      <c r="H3" s="16" t="n">
        <v>8</v>
      </c>
      <c r="I3" s="16" t="n">
        <v>8</v>
      </c>
      <c r="J3" s="16" t="n">
        <v>8</v>
      </c>
      <c r="K3" s="16" t="n">
        <v>8</v>
      </c>
      <c r="L3" s="16" t="n">
        <v>9</v>
      </c>
      <c r="M3" s="16" t="n">
        <v>9</v>
      </c>
      <c r="N3" s="17" t="s">
        <v>51</v>
      </c>
    </row>
    <row r="4" customFormat="false" ht="43.5" hidden="false" customHeight="true" outlineLevel="0" collapsed="false">
      <c r="A4" s="13" t="s">
        <v>47</v>
      </c>
      <c r="B4" s="14" t="s">
        <v>52</v>
      </c>
      <c r="C4" s="15" t="n">
        <f aca="false">AVERAGE(D4:M4)</f>
        <v>8.5</v>
      </c>
      <c r="D4" s="16" t="n">
        <v>9</v>
      </c>
      <c r="E4" s="16" t="n">
        <v>10</v>
      </c>
      <c r="F4" s="16" t="n">
        <v>7</v>
      </c>
      <c r="G4" s="16" t="n">
        <v>9</v>
      </c>
      <c r="H4" s="16" t="n">
        <v>8</v>
      </c>
      <c r="I4" s="16" t="n">
        <v>8</v>
      </c>
      <c r="J4" s="16" t="n">
        <v>8</v>
      </c>
      <c r="K4" s="16" t="n">
        <v>8</v>
      </c>
      <c r="L4" s="16" t="n">
        <v>9</v>
      </c>
      <c r="M4" s="16" t="n">
        <v>9</v>
      </c>
      <c r="N4" s="17" t="s">
        <v>53</v>
      </c>
    </row>
    <row r="5" customFormat="false" ht="43.5" hidden="false" customHeight="true" outlineLevel="0" collapsed="false">
      <c r="A5" s="13" t="s">
        <v>47</v>
      </c>
      <c r="B5" s="14" t="s">
        <v>54</v>
      </c>
      <c r="C5" s="15" t="n">
        <f aca="false">AVERAGE(D5:M5)</f>
        <v>7.5</v>
      </c>
      <c r="D5" s="16" t="n">
        <v>8</v>
      </c>
      <c r="E5" s="16" t="n">
        <v>9</v>
      </c>
      <c r="F5" s="16" t="n">
        <v>6</v>
      </c>
      <c r="G5" s="16" t="n">
        <v>8</v>
      </c>
      <c r="H5" s="16" t="n">
        <v>7</v>
      </c>
      <c r="I5" s="16" t="n">
        <v>7</v>
      </c>
      <c r="J5" s="16" t="n">
        <v>7</v>
      </c>
      <c r="K5" s="16" t="n">
        <v>7</v>
      </c>
      <c r="L5" s="16" t="n">
        <v>8</v>
      </c>
      <c r="M5" s="16" t="n">
        <v>8</v>
      </c>
      <c r="N5" s="17" t="s">
        <v>55</v>
      </c>
    </row>
    <row r="6" customFormat="false" ht="43.5" hidden="false" customHeight="true" outlineLevel="0" collapsed="false">
      <c r="A6" s="13" t="s">
        <v>47</v>
      </c>
      <c r="B6" s="14" t="s">
        <v>56</v>
      </c>
      <c r="C6" s="15" t="n">
        <f aca="false">AVERAGE(D6:M6)</f>
        <v>7.5</v>
      </c>
      <c r="D6" s="16" t="n">
        <v>8</v>
      </c>
      <c r="E6" s="16" t="n">
        <v>9</v>
      </c>
      <c r="F6" s="16" t="n">
        <v>6</v>
      </c>
      <c r="G6" s="16" t="n">
        <v>8</v>
      </c>
      <c r="H6" s="16" t="n">
        <v>7</v>
      </c>
      <c r="I6" s="16" t="n">
        <v>7</v>
      </c>
      <c r="J6" s="16" t="n">
        <v>7</v>
      </c>
      <c r="K6" s="16" t="n">
        <v>7</v>
      </c>
      <c r="L6" s="16" t="n">
        <v>8</v>
      </c>
      <c r="M6" s="16" t="n">
        <v>8</v>
      </c>
      <c r="N6" s="17" t="s">
        <v>57</v>
      </c>
    </row>
    <row r="7" customFormat="false" ht="43.5" hidden="false" customHeight="true" outlineLevel="0" collapsed="false">
      <c r="A7" s="13" t="s">
        <v>47</v>
      </c>
      <c r="B7" s="14" t="s">
        <v>58</v>
      </c>
      <c r="C7" s="15" t="n">
        <f aca="false">AVERAGE(D7:M7)</f>
        <v>5.5</v>
      </c>
      <c r="D7" s="16" t="n">
        <v>6</v>
      </c>
      <c r="E7" s="16" t="n">
        <v>7</v>
      </c>
      <c r="F7" s="16" t="n">
        <v>4</v>
      </c>
      <c r="G7" s="16" t="n">
        <v>6</v>
      </c>
      <c r="H7" s="16" t="n">
        <v>5</v>
      </c>
      <c r="I7" s="16" t="n">
        <v>5</v>
      </c>
      <c r="J7" s="16" t="n">
        <v>5</v>
      </c>
      <c r="K7" s="16" t="n">
        <v>5</v>
      </c>
      <c r="L7" s="16" t="n">
        <v>6</v>
      </c>
      <c r="M7" s="16" t="n">
        <v>6</v>
      </c>
      <c r="N7" s="17" t="s">
        <v>59</v>
      </c>
    </row>
    <row r="8" customFormat="false" ht="43.5" hidden="false" customHeight="true" outlineLevel="0" collapsed="false">
      <c r="A8" s="13" t="s">
        <v>47</v>
      </c>
      <c r="B8" s="14" t="s">
        <v>60</v>
      </c>
      <c r="C8" s="15" t="n">
        <f aca="false">AVERAGE(D8:M8)</f>
        <v>8.5</v>
      </c>
      <c r="D8" s="16" t="n">
        <v>9</v>
      </c>
      <c r="E8" s="16" t="n">
        <v>10</v>
      </c>
      <c r="F8" s="16" t="n">
        <v>7</v>
      </c>
      <c r="G8" s="16" t="n">
        <v>9</v>
      </c>
      <c r="H8" s="16" t="n">
        <v>8</v>
      </c>
      <c r="I8" s="16" t="n">
        <v>8</v>
      </c>
      <c r="J8" s="16" t="n">
        <v>8</v>
      </c>
      <c r="K8" s="16" t="n">
        <v>8</v>
      </c>
      <c r="L8" s="16" t="n">
        <v>9</v>
      </c>
      <c r="M8" s="16" t="n">
        <v>9</v>
      </c>
      <c r="N8" s="17" t="s">
        <v>61</v>
      </c>
    </row>
    <row r="9" customFormat="false" ht="43.5" hidden="false" customHeight="true" outlineLevel="0" collapsed="false">
      <c r="A9" s="13" t="s">
        <v>47</v>
      </c>
      <c r="B9" s="14" t="s">
        <v>62</v>
      </c>
      <c r="C9" s="15" t="n">
        <f aca="false">AVERAGE(D9:M9)</f>
        <v>4.5</v>
      </c>
      <c r="D9" s="16" t="n">
        <v>5</v>
      </c>
      <c r="E9" s="16" t="n">
        <v>6</v>
      </c>
      <c r="F9" s="16" t="n">
        <v>3</v>
      </c>
      <c r="G9" s="16" t="n">
        <v>5</v>
      </c>
      <c r="H9" s="16" t="n">
        <v>4</v>
      </c>
      <c r="I9" s="16" t="n">
        <v>4</v>
      </c>
      <c r="J9" s="16" t="n">
        <v>4</v>
      </c>
      <c r="K9" s="16" t="n">
        <v>4</v>
      </c>
      <c r="L9" s="16" t="n">
        <v>5</v>
      </c>
      <c r="M9" s="16" t="n">
        <v>5</v>
      </c>
      <c r="N9" s="17" t="s">
        <v>63</v>
      </c>
    </row>
    <row r="10" customFormat="false" ht="43.5" hidden="false" customHeight="true" outlineLevel="0" collapsed="false">
      <c r="A10" s="13" t="s">
        <v>47</v>
      </c>
      <c r="B10" s="14" t="s">
        <v>64</v>
      </c>
      <c r="C10" s="15" t="n">
        <f aca="false">AVERAGE(D10:M10)</f>
        <v>9.4</v>
      </c>
      <c r="D10" s="16" t="n">
        <v>10</v>
      </c>
      <c r="E10" s="16" t="n">
        <v>10</v>
      </c>
      <c r="F10" s="16" t="n">
        <v>8</v>
      </c>
      <c r="G10" s="16" t="n">
        <v>10</v>
      </c>
      <c r="H10" s="16" t="n">
        <v>9</v>
      </c>
      <c r="I10" s="16" t="n">
        <v>9</v>
      </c>
      <c r="J10" s="16" t="n">
        <v>9</v>
      </c>
      <c r="K10" s="16" t="n">
        <v>9</v>
      </c>
      <c r="L10" s="16" t="n">
        <v>10</v>
      </c>
      <c r="M10" s="16" t="n">
        <v>10</v>
      </c>
      <c r="N10" s="17" t="s">
        <v>65</v>
      </c>
    </row>
    <row r="11" customFormat="false" ht="43.5" hidden="false" customHeight="true" outlineLevel="0" collapsed="false">
      <c r="A11" s="13" t="s">
        <v>47</v>
      </c>
      <c r="B11" s="14" t="s">
        <v>66</v>
      </c>
      <c r="C11" s="15" t="n">
        <f aca="false">AVERAGE(D11:M11)</f>
        <v>6.5</v>
      </c>
      <c r="D11" s="16" t="n">
        <v>7</v>
      </c>
      <c r="E11" s="16" t="n">
        <v>8</v>
      </c>
      <c r="F11" s="16" t="n">
        <v>5</v>
      </c>
      <c r="G11" s="16" t="n">
        <v>7</v>
      </c>
      <c r="H11" s="16" t="n">
        <v>6</v>
      </c>
      <c r="I11" s="16" t="n">
        <v>6</v>
      </c>
      <c r="J11" s="16" t="n">
        <v>6</v>
      </c>
      <c r="K11" s="16" t="n">
        <v>6</v>
      </c>
      <c r="L11" s="16" t="n">
        <v>7</v>
      </c>
      <c r="M11" s="16" t="n">
        <v>7</v>
      </c>
      <c r="N11" s="17" t="s">
        <v>67</v>
      </c>
    </row>
    <row r="12" customFormat="false" ht="43.5" hidden="false" customHeight="true" outlineLevel="0" collapsed="false">
      <c r="A12" s="13" t="s">
        <v>68</v>
      </c>
      <c r="B12" s="14" t="s">
        <v>69</v>
      </c>
      <c r="C12" s="15" t="n">
        <f aca="false">AVERAGE(D12:M12)</f>
        <v>2.9</v>
      </c>
      <c r="D12" s="16" t="n">
        <v>3</v>
      </c>
      <c r="E12" s="16" t="n">
        <v>3</v>
      </c>
      <c r="F12" s="16" t="n">
        <v>1</v>
      </c>
      <c r="G12" s="16" t="n">
        <v>3</v>
      </c>
      <c r="H12" s="16" t="n">
        <v>4</v>
      </c>
      <c r="I12" s="16" t="n">
        <v>2</v>
      </c>
      <c r="J12" s="16" t="n">
        <v>3</v>
      </c>
      <c r="K12" s="16" t="n">
        <v>2</v>
      </c>
      <c r="L12" s="16" t="n">
        <v>5</v>
      </c>
      <c r="M12" s="16" t="n">
        <v>3</v>
      </c>
      <c r="N12" s="17" t="s">
        <v>70</v>
      </c>
    </row>
    <row r="13" customFormat="false" ht="43.5" hidden="false" customHeight="true" outlineLevel="0" collapsed="false">
      <c r="A13" s="13" t="s">
        <v>68</v>
      </c>
      <c r="B13" s="14" t="s">
        <v>71</v>
      </c>
      <c r="C13" s="15" t="n">
        <f aca="false">AVERAGE(D13:M13)</f>
        <v>7.9</v>
      </c>
      <c r="D13" s="16" t="n">
        <v>8</v>
      </c>
      <c r="E13" s="16" t="n">
        <v>8</v>
      </c>
      <c r="F13" s="16" t="n">
        <v>6</v>
      </c>
      <c r="G13" s="16" t="n">
        <v>8</v>
      </c>
      <c r="H13" s="16" t="n">
        <v>9</v>
      </c>
      <c r="I13" s="16" t="n">
        <v>7</v>
      </c>
      <c r="J13" s="16" t="n">
        <v>8</v>
      </c>
      <c r="K13" s="16" t="n">
        <v>7</v>
      </c>
      <c r="L13" s="16" t="n">
        <v>10</v>
      </c>
      <c r="M13" s="16" t="n">
        <v>8</v>
      </c>
      <c r="N13" s="17" t="s">
        <v>72</v>
      </c>
    </row>
    <row r="14" customFormat="false" ht="43.5" hidden="false" customHeight="true" outlineLevel="0" collapsed="false">
      <c r="A14" s="13" t="s">
        <v>68</v>
      </c>
      <c r="B14" s="14" t="s">
        <v>73</v>
      </c>
      <c r="C14" s="15" t="n">
        <f aca="false">AVERAGE(D14:M14)</f>
        <v>7.9</v>
      </c>
      <c r="D14" s="16" t="n">
        <v>8</v>
      </c>
      <c r="E14" s="16" t="n">
        <v>8</v>
      </c>
      <c r="F14" s="16" t="n">
        <v>6</v>
      </c>
      <c r="G14" s="16" t="n">
        <v>8</v>
      </c>
      <c r="H14" s="16" t="n">
        <v>9</v>
      </c>
      <c r="I14" s="16" t="n">
        <v>7</v>
      </c>
      <c r="J14" s="16" t="n">
        <v>8</v>
      </c>
      <c r="K14" s="16" t="n">
        <v>7</v>
      </c>
      <c r="L14" s="16" t="n">
        <v>10</v>
      </c>
      <c r="M14" s="16" t="n">
        <v>8</v>
      </c>
      <c r="N14" s="17" t="s">
        <v>74</v>
      </c>
    </row>
    <row r="15" customFormat="false" ht="43.5" hidden="false" customHeight="true" outlineLevel="0" collapsed="false">
      <c r="A15" s="13" t="s">
        <v>68</v>
      </c>
      <c r="B15" s="14" t="s">
        <v>75</v>
      </c>
      <c r="C15" s="15" t="n">
        <f aca="false">AVERAGE(D15:M15)</f>
        <v>6.9</v>
      </c>
      <c r="D15" s="16" t="n">
        <v>7</v>
      </c>
      <c r="E15" s="16" t="n">
        <v>7</v>
      </c>
      <c r="F15" s="16" t="n">
        <v>5</v>
      </c>
      <c r="G15" s="16" t="n">
        <v>7</v>
      </c>
      <c r="H15" s="16" t="n">
        <v>8</v>
      </c>
      <c r="I15" s="16" t="n">
        <v>6</v>
      </c>
      <c r="J15" s="16" t="n">
        <v>7</v>
      </c>
      <c r="K15" s="16" t="n">
        <v>6</v>
      </c>
      <c r="L15" s="16" t="n">
        <v>9</v>
      </c>
      <c r="M15" s="16" t="n">
        <v>7</v>
      </c>
      <c r="N15" s="17" t="s">
        <v>76</v>
      </c>
    </row>
    <row r="16" customFormat="false" ht="43.5" hidden="false" customHeight="true" outlineLevel="0" collapsed="false">
      <c r="A16" s="13" t="s">
        <v>68</v>
      </c>
      <c r="B16" s="14" t="s">
        <v>77</v>
      </c>
      <c r="C16" s="15" t="n">
        <f aca="false">AVERAGE(D16:M16)</f>
        <v>3.9</v>
      </c>
      <c r="D16" s="16" t="n">
        <v>4</v>
      </c>
      <c r="E16" s="16" t="n">
        <v>4</v>
      </c>
      <c r="F16" s="16" t="n">
        <v>2</v>
      </c>
      <c r="G16" s="16" t="n">
        <v>4</v>
      </c>
      <c r="H16" s="16" t="n">
        <v>5</v>
      </c>
      <c r="I16" s="16" t="n">
        <v>3</v>
      </c>
      <c r="J16" s="16" t="n">
        <v>4</v>
      </c>
      <c r="K16" s="16" t="n">
        <v>3</v>
      </c>
      <c r="L16" s="16" t="n">
        <v>6</v>
      </c>
      <c r="M16" s="16" t="n">
        <v>4</v>
      </c>
      <c r="N16" s="17" t="s">
        <v>78</v>
      </c>
    </row>
    <row r="17" customFormat="false" ht="43.5" hidden="false" customHeight="true" outlineLevel="0" collapsed="false">
      <c r="A17" s="13" t="s">
        <v>68</v>
      </c>
      <c r="B17" s="14" t="s">
        <v>79</v>
      </c>
      <c r="C17" s="15" t="n">
        <f aca="false">AVERAGE(D17:M17)</f>
        <v>5.9</v>
      </c>
      <c r="D17" s="16" t="n">
        <v>6</v>
      </c>
      <c r="E17" s="16" t="n">
        <v>6</v>
      </c>
      <c r="F17" s="16" t="n">
        <v>4</v>
      </c>
      <c r="G17" s="16" t="n">
        <v>6</v>
      </c>
      <c r="H17" s="16" t="n">
        <v>7</v>
      </c>
      <c r="I17" s="16" t="n">
        <v>5</v>
      </c>
      <c r="J17" s="16" t="n">
        <v>6</v>
      </c>
      <c r="K17" s="16" t="n">
        <v>5</v>
      </c>
      <c r="L17" s="16" t="n">
        <v>8</v>
      </c>
      <c r="M17" s="16" t="n">
        <v>6</v>
      </c>
      <c r="N17" s="17" t="s">
        <v>80</v>
      </c>
    </row>
    <row r="18" customFormat="false" ht="43.5" hidden="false" customHeight="true" outlineLevel="0" collapsed="false">
      <c r="A18" s="13" t="s">
        <v>68</v>
      </c>
      <c r="B18" s="14" t="s">
        <v>81</v>
      </c>
      <c r="C18" s="15" t="n">
        <f aca="false">AVERAGE(D18:M18)</f>
        <v>2.9</v>
      </c>
      <c r="D18" s="16" t="n">
        <v>3</v>
      </c>
      <c r="E18" s="16" t="n">
        <v>3</v>
      </c>
      <c r="F18" s="16" t="n">
        <v>1</v>
      </c>
      <c r="G18" s="16" t="n">
        <v>3</v>
      </c>
      <c r="H18" s="16" t="n">
        <v>4</v>
      </c>
      <c r="I18" s="16" t="n">
        <v>2</v>
      </c>
      <c r="J18" s="16" t="n">
        <v>3</v>
      </c>
      <c r="K18" s="16" t="n">
        <v>2</v>
      </c>
      <c r="L18" s="16" t="n">
        <v>5</v>
      </c>
      <c r="M18" s="16" t="n">
        <v>3</v>
      </c>
      <c r="N18" s="17" t="s">
        <v>82</v>
      </c>
    </row>
    <row r="19" customFormat="false" ht="43.5" hidden="false" customHeight="true" outlineLevel="0" collapsed="false">
      <c r="A19" s="13" t="s">
        <v>68</v>
      </c>
      <c r="B19" s="14" t="s">
        <v>83</v>
      </c>
      <c r="C19" s="15" t="n">
        <f aca="false">AVERAGE(D19:M19)</f>
        <v>8.8</v>
      </c>
      <c r="D19" s="16" t="n">
        <v>9</v>
      </c>
      <c r="E19" s="16" t="n">
        <v>9</v>
      </c>
      <c r="F19" s="16" t="n">
        <v>7</v>
      </c>
      <c r="G19" s="16" t="n">
        <v>9</v>
      </c>
      <c r="H19" s="16" t="n">
        <v>10</v>
      </c>
      <c r="I19" s="16" t="n">
        <v>8</v>
      </c>
      <c r="J19" s="16" t="n">
        <v>9</v>
      </c>
      <c r="K19" s="16" t="n">
        <v>8</v>
      </c>
      <c r="L19" s="16" t="n">
        <v>10</v>
      </c>
      <c r="M19" s="16" t="n">
        <v>9</v>
      </c>
      <c r="N19" s="17" t="s">
        <v>84</v>
      </c>
    </row>
    <row r="20" customFormat="false" ht="43.5" hidden="false" customHeight="true" outlineLevel="0" collapsed="false">
      <c r="A20" s="13" t="s">
        <v>68</v>
      </c>
      <c r="B20" s="14" t="s">
        <v>85</v>
      </c>
      <c r="C20" s="15" t="n">
        <f aca="false">AVERAGE(D20:M20)</f>
        <v>6.9</v>
      </c>
      <c r="D20" s="16" t="n">
        <v>7</v>
      </c>
      <c r="E20" s="16" t="n">
        <v>7</v>
      </c>
      <c r="F20" s="16" t="n">
        <v>5</v>
      </c>
      <c r="G20" s="16" t="n">
        <v>7</v>
      </c>
      <c r="H20" s="16" t="n">
        <v>8</v>
      </c>
      <c r="I20" s="16" t="n">
        <v>6</v>
      </c>
      <c r="J20" s="16" t="n">
        <v>7</v>
      </c>
      <c r="K20" s="16" t="n">
        <v>6</v>
      </c>
      <c r="L20" s="16" t="n">
        <v>9</v>
      </c>
      <c r="M20" s="16" t="n">
        <v>7</v>
      </c>
      <c r="N20" s="17" t="s">
        <v>86</v>
      </c>
    </row>
    <row r="21" customFormat="false" ht="43.5" hidden="false" customHeight="true" outlineLevel="0" collapsed="false">
      <c r="A21" s="13" t="s">
        <v>68</v>
      </c>
      <c r="B21" s="14" t="s">
        <v>87</v>
      </c>
      <c r="C21" s="15" t="n">
        <f aca="false">AVERAGE(D21:M21)</f>
        <v>7.9</v>
      </c>
      <c r="D21" s="16" t="n">
        <v>8</v>
      </c>
      <c r="E21" s="16" t="n">
        <v>8</v>
      </c>
      <c r="F21" s="16" t="n">
        <v>6</v>
      </c>
      <c r="G21" s="16" t="n">
        <v>8</v>
      </c>
      <c r="H21" s="16" t="n">
        <v>9</v>
      </c>
      <c r="I21" s="16" t="n">
        <v>7</v>
      </c>
      <c r="J21" s="16" t="n">
        <v>8</v>
      </c>
      <c r="K21" s="16" t="n">
        <v>7</v>
      </c>
      <c r="L21" s="16" t="n">
        <v>10</v>
      </c>
      <c r="M21" s="16" t="n">
        <v>8</v>
      </c>
      <c r="N21" s="17" t="s">
        <v>88</v>
      </c>
    </row>
    <row r="22" customFormat="false" ht="43.5" hidden="false" customHeight="true" outlineLevel="0" collapsed="false">
      <c r="A22" s="13" t="s">
        <v>89</v>
      </c>
      <c r="B22" s="14" t="s">
        <v>90</v>
      </c>
      <c r="C22" s="15" t="n">
        <f aca="false">AVERAGE(D22:M22)</f>
        <v>8.1</v>
      </c>
      <c r="D22" s="16" t="n">
        <v>8</v>
      </c>
      <c r="E22" s="16" t="n">
        <v>8</v>
      </c>
      <c r="F22" s="16" t="n">
        <v>7</v>
      </c>
      <c r="G22" s="16" t="n">
        <v>8</v>
      </c>
      <c r="H22" s="16" t="n">
        <v>10</v>
      </c>
      <c r="I22" s="16" t="n">
        <v>7</v>
      </c>
      <c r="J22" s="16" t="n">
        <v>9</v>
      </c>
      <c r="K22" s="16" t="n">
        <v>7</v>
      </c>
      <c r="L22" s="16" t="n">
        <v>8</v>
      </c>
      <c r="M22" s="16" t="n">
        <v>9</v>
      </c>
      <c r="N22" s="17" t="s">
        <v>91</v>
      </c>
    </row>
    <row r="23" customFormat="false" ht="43.5" hidden="false" customHeight="true" outlineLevel="0" collapsed="false">
      <c r="A23" s="13" t="s">
        <v>89</v>
      </c>
      <c r="B23" s="14" t="s">
        <v>92</v>
      </c>
      <c r="C23" s="15" t="n">
        <f aca="false">AVERAGE(D23:M23)</f>
        <v>8.1</v>
      </c>
      <c r="D23" s="16" t="n">
        <v>8</v>
      </c>
      <c r="E23" s="16" t="n">
        <v>8</v>
      </c>
      <c r="F23" s="16" t="n">
        <v>7</v>
      </c>
      <c r="G23" s="16" t="n">
        <v>8</v>
      </c>
      <c r="H23" s="16" t="n">
        <v>10</v>
      </c>
      <c r="I23" s="16" t="n">
        <v>7</v>
      </c>
      <c r="J23" s="16" t="n">
        <v>9</v>
      </c>
      <c r="K23" s="16" t="n">
        <v>7</v>
      </c>
      <c r="L23" s="16" t="n">
        <v>8</v>
      </c>
      <c r="M23" s="16" t="n">
        <v>9</v>
      </c>
      <c r="N23" s="17" t="s">
        <v>93</v>
      </c>
    </row>
    <row r="24" customFormat="false" ht="43.5" hidden="false" customHeight="true" outlineLevel="0" collapsed="false">
      <c r="A24" s="13" t="s">
        <v>89</v>
      </c>
      <c r="B24" s="14" t="s">
        <v>94</v>
      </c>
      <c r="C24" s="15" t="n">
        <f aca="false">AVERAGE(D24:M24)</f>
        <v>6.1</v>
      </c>
      <c r="D24" s="16" t="n">
        <v>6</v>
      </c>
      <c r="E24" s="16" t="n">
        <v>6</v>
      </c>
      <c r="F24" s="16" t="n">
        <v>5</v>
      </c>
      <c r="G24" s="16" t="n">
        <v>6</v>
      </c>
      <c r="H24" s="16" t="n">
        <v>8</v>
      </c>
      <c r="I24" s="16" t="n">
        <v>5</v>
      </c>
      <c r="J24" s="16" t="n">
        <v>7</v>
      </c>
      <c r="K24" s="16" t="n">
        <v>5</v>
      </c>
      <c r="L24" s="16" t="n">
        <v>6</v>
      </c>
      <c r="M24" s="16" t="n">
        <v>7</v>
      </c>
      <c r="N24" s="17" t="s">
        <v>95</v>
      </c>
    </row>
    <row r="25" customFormat="false" ht="43.5" hidden="false" customHeight="true" outlineLevel="0" collapsed="false">
      <c r="A25" s="13" t="s">
        <v>89</v>
      </c>
      <c r="B25" s="14" t="s">
        <v>96</v>
      </c>
      <c r="C25" s="15" t="n">
        <f aca="false">AVERAGE(D25:M25)</f>
        <v>7.1</v>
      </c>
      <c r="D25" s="16" t="n">
        <v>7</v>
      </c>
      <c r="E25" s="16" t="n">
        <v>7</v>
      </c>
      <c r="F25" s="16" t="n">
        <v>6</v>
      </c>
      <c r="G25" s="16" t="n">
        <v>7</v>
      </c>
      <c r="H25" s="16" t="n">
        <v>9</v>
      </c>
      <c r="I25" s="16" t="n">
        <v>6</v>
      </c>
      <c r="J25" s="16" t="n">
        <v>8</v>
      </c>
      <c r="K25" s="16" t="n">
        <v>6</v>
      </c>
      <c r="L25" s="16" t="n">
        <v>7</v>
      </c>
      <c r="M25" s="16" t="n">
        <v>8</v>
      </c>
      <c r="N25" s="17" t="s">
        <v>97</v>
      </c>
    </row>
    <row r="26" customFormat="false" ht="43.5" hidden="false" customHeight="true" outlineLevel="0" collapsed="false">
      <c r="A26" s="13" t="s">
        <v>89</v>
      </c>
      <c r="B26" s="14" t="s">
        <v>98</v>
      </c>
      <c r="C26" s="15" t="n">
        <f aca="false">AVERAGE(D26:M26)</f>
        <v>8.1</v>
      </c>
      <c r="D26" s="16" t="n">
        <v>8</v>
      </c>
      <c r="E26" s="16" t="n">
        <v>8</v>
      </c>
      <c r="F26" s="16" t="n">
        <v>7</v>
      </c>
      <c r="G26" s="16" t="n">
        <v>8</v>
      </c>
      <c r="H26" s="16" t="n">
        <v>10</v>
      </c>
      <c r="I26" s="16" t="n">
        <v>7</v>
      </c>
      <c r="J26" s="16" t="n">
        <v>9</v>
      </c>
      <c r="K26" s="16" t="n">
        <v>7</v>
      </c>
      <c r="L26" s="16" t="n">
        <v>8</v>
      </c>
      <c r="M26" s="16" t="n">
        <v>9</v>
      </c>
      <c r="N26" s="17" t="s">
        <v>99</v>
      </c>
    </row>
    <row r="27" customFormat="false" ht="43.5" hidden="false" customHeight="true" outlineLevel="0" collapsed="false">
      <c r="A27" s="13" t="s">
        <v>89</v>
      </c>
      <c r="B27" s="14" t="s">
        <v>100</v>
      </c>
      <c r="C27" s="15" t="n">
        <f aca="false">AVERAGE(D27:M27)</f>
        <v>2.1</v>
      </c>
      <c r="D27" s="16" t="n">
        <v>2</v>
      </c>
      <c r="E27" s="16" t="n">
        <v>2</v>
      </c>
      <c r="F27" s="16" t="n">
        <v>1</v>
      </c>
      <c r="G27" s="16" t="n">
        <v>2</v>
      </c>
      <c r="H27" s="16" t="n">
        <v>4</v>
      </c>
      <c r="I27" s="16" t="n">
        <v>1</v>
      </c>
      <c r="J27" s="16" t="n">
        <v>3</v>
      </c>
      <c r="K27" s="16" t="n">
        <v>1</v>
      </c>
      <c r="L27" s="16" t="n">
        <v>2</v>
      </c>
      <c r="M27" s="16" t="n">
        <v>3</v>
      </c>
      <c r="N27" s="17" t="s">
        <v>101</v>
      </c>
    </row>
    <row r="28" customFormat="false" ht="43.5" hidden="false" customHeight="true" outlineLevel="0" collapsed="false">
      <c r="A28" s="13" t="s">
        <v>89</v>
      </c>
      <c r="B28" s="14" t="s">
        <v>102</v>
      </c>
      <c r="C28" s="15" t="n">
        <f aca="false">AVERAGE(D28:M28)</f>
        <v>9</v>
      </c>
      <c r="D28" s="16" t="n">
        <v>9</v>
      </c>
      <c r="E28" s="16" t="n">
        <v>9</v>
      </c>
      <c r="F28" s="16" t="n">
        <v>8</v>
      </c>
      <c r="G28" s="16" t="n">
        <v>9</v>
      </c>
      <c r="H28" s="16" t="n">
        <v>10</v>
      </c>
      <c r="I28" s="16" t="n">
        <v>8</v>
      </c>
      <c r="J28" s="16" t="n">
        <v>10</v>
      </c>
      <c r="K28" s="16" t="n">
        <v>8</v>
      </c>
      <c r="L28" s="16" t="n">
        <v>9</v>
      </c>
      <c r="M28" s="16" t="n">
        <v>10</v>
      </c>
      <c r="N28" s="17" t="s">
        <v>103</v>
      </c>
    </row>
    <row r="29" customFormat="false" ht="43.5" hidden="false" customHeight="true" outlineLevel="0" collapsed="false">
      <c r="A29" s="13" t="s">
        <v>89</v>
      </c>
      <c r="B29" s="14" t="s">
        <v>104</v>
      </c>
      <c r="C29" s="15" t="n">
        <f aca="false">AVERAGE(D29:M29)</f>
        <v>4.1</v>
      </c>
      <c r="D29" s="16" t="n">
        <v>4</v>
      </c>
      <c r="E29" s="16" t="n">
        <v>4</v>
      </c>
      <c r="F29" s="16" t="n">
        <v>3</v>
      </c>
      <c r="G29" s="16" t="n">
        <v>4</v>
      </c>
      <c r="H29" s="16" t="n">
        <v>6</v>
      </c>
      <c r="I29" s="16" t="n">
        <v>3</v>
      </c>
      <c r="J29" s="16" t="n">
        <v>5</v>
      </c>
      <c r="K29" s="16" t="n">
        <v>3</v>
      </c>
      <c r="L29" s="16" t="n">
        <v>4</v>
      </c>
      <c r="M29" s="16" t="n">
        <v>5</v>
      </c>
      <c r="N29" s="17" t="s">
        <v>105</v>
      </c>
    </row>
    <row r="30" customFormat="false" ht="43.5" hidden="false" customHeight="true" outlineLevel="0" collapsed="false">
      <c r="A30" s="13" t="s">
        <v>89</v>
      </c>
      <c r="B30" s="14" t="s">
        <v>106</v>
      </c>
      <c r="C30" s="15" t="n">
        <f aca="false">AVERAGE(D30:M30)</f>
        <v>6.1</v>
      </c>
      <c r="D30" s="16" t="n">
        <v>6</v>
      </c>
      <c r="E30" s="16" t="n">
        <v>6</v>
      </c>
      <c r="F30" s="16" t="n">
        <v>5</v>
      </c>
      <c r="G30" s="16" t="n">
        <v>6</v>
      </c>
      <c r="H30" s="16" t="n">
        <v>8</v>
      </c>
      <c r="I30" s="16" t="n">
        <v>5</v>
      </c>
      <c r="J30" s="16" t="n">
        <v>7</v>
      </c>
      <c r="K30" s="16" t="n">
        <v>5</v>
      </c>
      <c r="L30" s="16" t="n">
        <v>6</v>
      </c>
      <c r="M30" s="16" t="n">
        <v>7</v>
      </c>
      <c r="N30" s="17" t="s">
        <v>107</v>
      </c>
    </row>
    <row r="31" customFormat="false" ht="43.5" hidden="false" customHeight="true" outlineLevel="0" collapsed="false">
      <c r="A31" s="13" t="s">
        <v>89</v>
      </c>
      <c r="B31" s="14" t="s">
        <v>108</v>
      </c>
      <c r="C31" s="15" t="n">
        <f aca="false">AVERAGE(D31:M31)</f>
        <v>6.1</v>
      </c>
      <c r="D31" s="16" t="n">
        <v>6</v>
      </c>
      <c r="E31" s="16" t="n">
        <v>6</v>
      </c>
      <c r="F31" s="16" t="n">
        <v>5</v>
      </c>
      <c r="G31" s="16" t="n">
        <v>6</v>
      </c>
      <c r="H31" s="16" t="n">
        <v>8</v>
      </c>
      <c r="I31" s="16" t="n">
        <v>5</v>
      </c>
      <c r="J31" s="16" t="n">
        <v>7</v>
      </c>
      <c r="K31" s="16" t="n">
        <v>5</v>
      </c>
      <c r="L31" s="16" t="n">
        <v>6</v>
      </c>
      <c r="M31" s="16" t="n">
        <v>7</v>
      </c>
      <c r="N31" s="17" t="s">
        <v>109</v>
      </c>
    </row>
    <row r="32" customFormat="false" ht="43.5" hidden="false" customHeight="true" outlineLevel="0" collapsed="false">
      <c r="A32" s="13" t="s">
        <v>110</v>
      </c>
      <c r="B32" s="14" t="s">
        <v>111</v>
      </c>
      <c r="C32" s="15" t="n">
        <f aca="false">AVERAGE(D32:M32)</f>
        <v>7.1</v>
      </c>
      <c r="D32" s="16" t="n">
        <v>8</v>
      </c>
      <c r="E32" s="16" t="n">
        <v>8</v>
      </c>
      <c r="F32" s="16" t="n">
        <v>9</v>
      </c>
      <c r="G32" s="16" t="n">
        <v>8</v>
      </c>
      <c r="H32" s="16" t="n">
        <v>6</v>
      </c>
      <c r="I32" s="16" t="n">
        <v>7</v>
      </c>
      <c r="J32" s="16" t="n">
        <v>6</v>
      </c>
      <c r="K32" s="16" t="n">
        <v>5</v>
      </c>
      <c r="L32" s="16" t="n">
        <v>7</v>
      </c>
      <c r="M32" s="16" t="n">
        <v>7</v>
      </c>
      <c r="N32" s="17" t="s">
        <v>112</v>
      </c>
    </row>
    <row r="33" customFormat="false" ht="43.5" hidden="false" customHeight="true" outlineLevel="0" collapsed="false">
      <c r="A33" s="13" t="s">
        <v>110</v>
      </c>
      <c r="B33" s="14" t="s">
        <v>113</v>
      </c>
      <c r="C33" s="15" t="n">
        <f aca="false">AVERAGE(D33:M33)</f>
        <v>6.1</v>
      </c>
      <c r="D33" s="16" t="n">
        <v>7</v>
      </c>
      <c r="E33" s="16" t="n">
        <v>7</v>
      </c>
      <c r="F33" s="16" t="n">
        <v>8</v>
      </c>
      <c r="G33" s="16" t="n">
        <v>7</v>
      </c>
      <c r="H33" s="16" t="n">
        <v>5</v>
      </c>
      <c r="I33" s="16" t="n">
        <v>6</v>
      </c>
      <c r="J33" s="16" t="n">
        <v>5</v>
      </c>
      <c r="K33" s="16" t="n">
        <v>4</v>
      </c>
      <c r="L33" s="16" t="n">
        <v>6</v>
      </c>
      <c r="M33" s="16" t="n">
        <v>6</v>
      </c>
      <c r="N33" s="17" t="s">
        <v>114</v>
      </c>
    </row>
    <row r="34" customFormat="false" ht="43.5" hidden="false" customHeight="true" outlineLevel="0" collapsed="false">
      <c r="A34" s="13" t="s">
        <v>110</v>
      </c>
      <c r="B34" s="14" t="s">
        <v>115</v>
      </c>
      <c r="C34" s="15" t="n">
        <f aca="false">AVERAGE(D34:M34)</f>
        <v>8.1</v>
      </c>
      <c r="D34" s="16" t="n">
        <v>9</v>
      </c>
      <c r="E34" s="16" t="n">
        <v>9</v>
      </c>
      <c r="F34" s="16" t="n">
        <v>10</v>
      </c>
      <c r="G34" s="16" t="n">
        <v>9</v>
      </c>
      <c r="H34" s="16" t="n">
        <v>7</v>
      </c>
      <c r="I34" s="16" t="n">
        <v>8</v>
      </c>
      <c r="J34" s="16" t="n">
        <v>7</v>
      </c>
      <c r="K34" s="16" t="n">
        <v>6</v>
      </c>
      <c r="L34" s="16" t="n">
        <v>8</v>
      </c>
      <c r="M34" s="16" t="n">
        <v>8</v>
      </c>
      <c r="N34" s="17" t="s">
        <v>116</v>
      </c>
    </row>
    <row r="35" customFormat="false" ht="43.5" hidden="false" customHeight="true" outlineLevel="0" collapsed="false">
      <c r="A35" s="13" t="s">
        <v>110</v>
      </c>
      <c r="B35" s="14" t="s">
        <v>117</v>
      </c>
      <c r="C35" s="15" t="n">
        <f aca="false">AVERAGE(D35:M35)</f>
        <v>9</v>
      </c>
      <c r="D35" s="16" t="n">
        <v>10</v>
      </c>
      <c r="E35" s="16" t="n">
        <v>10</v>
      </c>
      <c r="F35" s="16" t="n">
        <v>10</v>
      </c>
      <c r="G35" s="16" t="n">
        <v>10</v>
      </c>
      <c r="H35" s="16" t="n">
        <v>8</v>
      </c>
      <c r="I35" s="16" t="n">
        <v>9</v>
      </c>
      <c r="J35" s="16" t="n">
        <v>8</v>
      </c>
      <c r="K35" s="16" t="n">
        <v>7</v>
      </c>
      <c r="L35" s="16" t="n">
        <v>9</v>
      </c>
      <c r="M35" s="16" t="n">
        <v>9</v>
      </c>
      <c r="N35" s="17" t="s">
        <v>118</v>
      </c>
    </row>
    <row r="36" customFormat="false" ht="43.5" hidden="false" customHeight="true" outlineLevel="0" collapsed="false">
      <c r="A36" s="13" t="s">
        <v>110</v>
      </c>
      <c r="B36" s="14" t="s">
        <v>119</v>
      </c>
      <c r="C36" s="15" t="n">
        <f aca="false">AVERAGE(D36:M36)</f>
        <v>7.1</v>
      </c>
      <c r="D36" s="16" t="n">
        <v>8</v>
      </c>
      <c r="E36" s="16" t="n">
        <v>8</v>
      </c>
      <c r="F36" s="16" t="n">
        <v>9</v>
      </c>
      <c r="G36" s="16" t="n">
        <v>8</v>
      </c>
      <c r="H36" s="16" t="n">
        <v>6</v>
      </c>
      <c r="I36" s="16" t="n">
        <v>7</v>
      </c>
      <c r="J36" s="16" t="n">
        <v>6</v>
      </c>
      <c r="K36" s="16" t="n">
        <v>5</v>
      </c>
      <c r="L36" s="16" t="n">
        <v>7</v>
      </c>
      <c r="M36" s="16" t="n">
        <v>7</v>
      </c>
      <c r="N36" s="17" t="s">
        <v>120</v>
      </c>
    </row>
    <row r="37" customFormat="false" ht="43.5" hidden="false" customHeight="true" outlineLevel="0" collapsed="false">
      <c r="A37" s="13" t="s">
        <v>110</v>
      </c>
      <c r="B37" s="14" t="s">
        <v>121</v>
      </c>
      <c r="C37" s="15" t="n">
        <f aca="false">AVERAGE(D37:M37)</f>
        <v>6.1</v>
      </c>
      <c r="D37" s="16" t="n">
        <v>7</v>
      </c>
      <c r="E37" s="16" t="n">
        <v>7</v>
      </c>
      <c r="F37" s="16" t="n">
        <v>8</v>
      </c>
      <c r="G37" s="16" t="n">
        <v>7</v>
      </c>
      <c r="H37" s="16" t="n">
        <v>5</v>
      </c>
      <c r="I37" s="16" t="n">
        <v>6</v>
      </c>
      <c r="J37" s="16" t="n">
        <v>5</v>
      </c>
      <c r="K37" s="16" t="n">
        <v>4</v>
      </c>
      <c r="L37" s="16" t="n">
        <v>6</v>
      </c>
      <c r="M37" s="16" t="n">
        <v>6</v>
      </c>
      <c r="N37" s="17" t="s">
        <v>122</v>
      </c>
    </row>
    <row r="38" customFormat="false" ht="43.5" hidden="false" customHeight="true" outlineLevel="0" collapsed="false">
      <c r="A38" s="13" t="s">
        <v>110</v>
      </c>
      <c r="B38" s="14" t="s">
        <v>123</v>
      </c>
      <c r="C38" s="15" t="n">
        <f aca="false">AVERAGE(D38:M38)</f>
        <v>6.1</v>
      </c>
      <c r="D38" s="16" t="n">
        <v>7</v>
      </c>
      <c r="E38" s="16" t="n">
        <v>7</v>
      </c>
      <c r="F38" s="16" t="n">
        <v>8</v>
      </c>
      <c r="G38" s="16" t="n">
        <v>7</v>
      </c>
      <c r="H38" s="16" t="n">
        <v>5</v>
      </c>
      <c r="I38" s="16" t="n">
        <v>6</v>
      </c>
      <c r="J38" s="16" t="n">
        <v>5</v>
      </c>
      <c r="K38" s="16" t="n">
        <v>4</v>
      </c>
      <c r="L38" s="16" t="n">
        <v>6</v>
      </c>
      <c r="M38" s="16" t="n">
        <v>6</v>
      </c>
      <c r="N38" s="17" t="s">
        <v>124</v>
      </c>
    </row>
    <row r="39" customFormat="false" ht="43.5" hidden="false" customHeight="true" outlineLevel="0" collapsed="false">
      <c r="A39" s="13" t="s">
        <v>110</v>
      </c>
      <c r="B39" s="14" t="s">
        <v>125</v>
      </c>
      <c r="C39" s="15" t="n">
        <f aca="false">AVERAGE(D39:M39)</f>
        <v>4.1</v>
      </c>
      <c r="D39" s="16" t="n">
        <v>5</v>
      </c>
      <c r="E39" s="16" t="n">
        <v>5</v>
      </c>
      <c r="F39" s="16" t="n">
        <v>6</v>
      </c>
      <c r="G39" s="16" t="n">
        <v>5</v>
      </c>
      <c r="H39" s="16" t="n">
        <v>3</v>
      </c>
      <c r="I39" s="16" t="n">
        <v>4</v>
      </c>
      <c r="J39" s="16" t="n">
        <v>3</v>
      </c>
      <c r="K39" s="16" t="n">
        <v>2</v>
      </c>
      <c r="L39" s="16" t="n">
        <v>4</v>
      </c>
      <c r="M39" s="16" t="n">
        <v>4</v>
      </c>
      <c r="N39" s="17" t="s">
        <v>126</v>
      </c>
    </row>
    <row r="40" customFormat="false" ht="43.5" hidden="false" customHeight="true" outlineLevel="0" collapsed="false">
      <c r="A40" s="13" t="s">
        <v>110</v>
      </c>
      <c r="B40" s="14" t="s">
        <v>127</v>
      </c>
      <c r="C40" s="15" t="n">
        <f aca="false">AVERAGE(D40:M40)</f>
        <v>5.1</v>
      </c>
      <c r="D40" s="16" t="n">
        <v>6</v>
      </c>
      <c r="E40" s="16" t="n">
        <v>6</v>
      </c>
      <c r="F40" s="16" t="n">
        <v>7</v>
      </c>
      <c r="G40" s="16" t="n">
        <v>6</v>
      </c>
      <c r="H40" s="16" t="n">
        <v>4</v>
      </c>
      <c r="I40" s="16" t="n">
        <v>5</v>
      </c>
      <c r="J40" s="16" t="n">
        <v>4</v>
      </c>
      <c r="K40" s="16" t="n">
        <v>3</v>
      </c>
      <c r="L40" s="16" t="n">
        <v>5</v>
      </c>
      <c r="M40" s="16" t="n">
        <v>5</v>
      </c>
      <c r="N40" s="17" t="s">
        <v>128</v>
      </c>
    </row>
    <row r="41" customFormat="false" ht="43.5" hidden="false" customHeight="true" outlineLevel="0" collapsed="false">
      <c r="A41" s="13" t="s">
        <v>110</v>
      </c>
      <c r="B41" s="14" t="s">
        <v>129</v>
      </c>
      <c r="C41" s="15" t="n">
        <f aca="false">AVERAGE(D41:M41)</f>
        <v>6.1</v>
      </c>
      <c r="D41" s="16" t="n">
        <v>7</v>
      </c>
      <c r="E41" s="16" t="n">
        <v>7</v>
      </c>
      <c r="F41" s="16" t="n">
        <v>8</v>
      </c>
      <c r="G41" s="16" t="n">
        <v>7</v>
      </c>
      <c r="H41" s="16" t="n">
        <v>5</v>
      </c>
      <c r="I41" s="16" t="n">
        <v>6</v>
      </c>
      <c r="J41" s="16" t="n">
        <v>5</v>
      </c>
      <c r="K41" s="16" t="n">
        <v>4</v>
      </c>
      <c r="L41" s="16" t="n">
        <v>6</v>
      </c>
      <c r="M41" s="16" t="n">
        <v>6</v>
      </c>
      <c r="N41" s="17" t="s">
        <v>130</v>
      </c>
    </row>
    <row r="42" customFormat="false" ht="43.5" hidden="false" customHeight="true" outlineLevel="0" collapsed="false">
      <c r="A42" s="13" t="s">
        <v>131</v>
      </c>
      <c r="B42" s="14" t="s">
        <v>132</v>
      </c>
      <c r="C42" s="15" t="n">
        <f aca="false">AVERAGE(D42:M42)</f>
        <v>8.3</v>
      </c>
      <c r="D42" s="16" t="n">
        <v>9</v>
      </c>
      <c r="E42" s="16" t="n">
        <v>10</v>
      </c>
      <c r="F42" s="16" t="n">
        <v>8</v>
      </c>
      <c r="G42" s="16" t="n">
        <v>8</v>
      </c>
      <c r="H42" s="16" t="n">
        <v>8</v>
      </c>
      <c r="I42" s="16" t="n">
        <v>7</v>
      </c>
      <c r="J42" s="16" t="n">
        <v>8</v>
      </c>
      <c r="K42" s="16" t="n">
        <v>7</v>
      </c>
      <c r="L42" s="16" t="n">
        <v>8</v>
      </c>
      <c r="M42" s="16" t="n">
        <v>10</v>
      </c>
      <c r="N42" s="17" t="s">
        <v>133</v>
      </c>
    </row>
    <row r="43" customFormat="false" ht="43.5" hidden="false" customHeight="true" outlineLevel="0" collapsed="false">
      <c r="A43" s="13" t="s">
        <v>131</v>
      </c>
      <c r="B43" s="14" t="s">
        <v>134</v>
      </c>
      <c r="C43" s="15" t="n">
        <f aca="false">AVERAGE(D43:M43)</f>
        <v>8.3</v>
      </c>
      <c r="D43" s="16" t="n">
        <v>9</v>
      </c>
      <c r="E43" s="16" t="n">
        <v>10</v>
      </c>
      <c r="F43" s="16" t="n">
        <v>8</v>
      </c>
      <c r="G43" s="16" t="n">
        <v>8</v>
      </c>
      <c r="H43" s="16" t="n">
        <v>8</v>
      </c>
      <c r="I43" s="16" t="n">
        <v>7</v>
      </c>
      <c r="J43" s="16" t="n">
        <v>8</v>
      </c>
      <c r="K43" s="16" t="n">
        <v>7</v>
      </c>
      <c r="L43" s="16" t="n">
        <v>8</v>
      </c>
      <c r="M43" s="16" t="n">
        <v>10</v>
      </c>
      <c r="N43" s="17" t="s">
        <v>135</v>
      </c>
    </row>
    <row r="44" customFormat="false" ht="43.5" hidden="false" customHeight="true" outlineLevel="0" collapsed="false">
      <c r="A44" s="13" t="s">
        <v>131</v>
      </c>
      <c r="B44" s="14" t="s">
        <v>136</v>
      </c>
      <c r="C44" s="15" t="n">
        <f aca="false">AVERAGE(D44:M44)</f>
        <v>7.3</v>
      </c>
      <c r="D44" s="16" t="n">
        <v>8</v>
      </c>
      <c r="E44" s="16" t="n">
        <v>9</v>
      </c>
      <c r="F44" s="16" t="n">
        <v>7</v>
      </c>
      <c r="G44" s="16" t="n">
        <v>7</v>
      </c>
      <c r="H44" s="16" t="n">
        <v>7</v>
      </c>
      <c r="I44" s="16" t="n">
        <v>6</v>
      </c>
      <c r="J44" s="16" t="n">
        <v>7</v>
      </c>
      <c r="K44" s="16" t="n">
        <v>6</v>
      </c>
      <c r="L44" s="16" t="n">
        <v>7</v>
      </c>
      <c r="M44" s="16" t="n">
        <v>9</v>
      </c>
      <c r="N44" s="17" t="s">
        <v>137</v>
      </c>
    </row>
    <row r="45" customFormat="false" ht="43.5" hidden="false" customHeight="true" outlineLevel="0" collapsed="false">
      <c r="A45" s="13" t="s">
        <v>131</v>
      </c>
      <c r="B45" s="14" t="s">
        <v>138</v>
      </c>
      <c r="C45" s="15" t="n">
        <f aca="false">AVERAGE(D45:M45)</f>
        <v>7.3</v>
      </c>
      <c r="D45" s="16" t="n">
        <v>8</v>
      </c>
      <c r="E45" s="16" t="n">
        <v>9</v>
      </c>
      <c r="F45" s="16" t="n">
        <v>7</v>
      </c>
      <c r="G45" s="16" t="n">
        <v>7</v>
      </c>
      <c r="H45" s="16" t="n">
        <v>7</v>
      </c>
      <c r="I45" s="16" t="n">
        <v>6</v>
      </c>
      <c r="J45" s="16" t="n">
        <v>7</v>
      </c>
      <c r="K45" s="16" t="n">
        <v>6</v>
      </c>
      <c r="L45" s="16" t="n">
        <v>7</v>
      </c>
      <c r="M45" s="16" t="n">
        <v>9</v>
      </c>
      <c r="N45" s="17" t="s">
        <v>139</v>
      </c>
    </row>
    <row r="46" customFormat="false" ht="43.5" hidden="false" customHeight="true" outlineLevel="0" collapsed="false">
      <c r="A46" s="13" t="s">
        <v>131</v>
      </c>
      <c r="B46" s="14" t="s">
        <v>140</v>
      </c>
      <c r="C46" s="15" t="n">
        <f aca="false">AVERAGE(D46:M46)</f>
        <v>3.3</v>
      </c>
      <c r="D46" s="16" t="n">
        <v>4</v>
      </c>
      <c r="E46" s="16" t="n">
        <v>5</v>
      </c>
      <c r="F46" s="16" t="n">
        <v>3</v>
      </c>
      <c r="G46" s="16" t="n">
        <v>3</v>
      </c>
      <c r="H46" s="16" t="n">
        <v>3</v>
      </c>
      <c r="I46" s="16" t="n">
        <v>2</v>
      </c>
      <c r="J46" s="16" t="n">
        <v>3</v>
      </c>
      <c r="K46" s="16" t="n">
        <v>2</v>
      </c>
      <c r="L46" s="16" t="n">
        <v>3</v>
      </c>
      <c r="M46" s="16" t="n">
        <v>5</v>
      </c>
      <c r="N46" s="17" t="s">
        <v>141</v>
      </c>
    </row>
    <row r="47" customFormat="false" ht="43.5" hidden="false" customHeight="true" outlineLevel="0" collapsed="false">
      <c r="A47" s="13" t="s">
        <v>131</v>
      </c>
      <c r="B47" s="14" t="s">
        <v>142</v>
      </c>
      <c r="C47" s="15" t="n">
        <f aca="false">AVERAGE(D47:M47)</f>
        <v>7.3</v>
      </c>
      <c r="D47" s="16" t="n">
        <v>8</v>
      </c>
      <c r="E47" s="16" t="n">
        <v>9</v>
      </c>
      <c r="F47" s="16" t="n">
        <v>7</v>
      </c>
      <c r="G47" s="16" t="n">
        <v>7</v>
      </c>
      <c r="H47" s="16" t="n">
        <v>7</v>
      </c>
      <c r="I47" s="16" t="n">
        <v>6</v>
      </c>
      <c r="J47" s="16" t="n">
        <v>7</v>
      </c>
      <c r="K47" s="16" t="n">
        <v>6</v>
      </c>
      <c r="L47" s="16" t="n">
        <v>7</v>
      </c>
      <c r="M47" s="16" t="n">
        <v>9</v>
      </c>
      <c r="N47" s="17" t="s">
        <v>143</v>
      </c>
    </row>
    <row r="48" customFormat="false" ht="43.5" hidden="false" customHeight="true" outlineLevel="0" collapsed="false">
      <c r="A48" s="13" t="s">
        <v>131</v>
      </c>
      <c r="B48" s="14" t="s">
        <v>144</v>
      </c>
      <c r="C48" s="15" t="n">
        <f aca="false">AVERAGE(D48:M48)</f>
        <v>8.3</v>
      </c>
      <c r="D48" s="16" t="n">
        <v>9</v>
      </c>
      <c r="E48" s="16" t="n">
        <v>10</v>
      </c>
      <c r="F48" s="16" t="n">
        <v>8</v>
      </c>
      <c r="G48" s="16" t="n">
        <v>8</v>
      </c>
      <c r="H48" s="16" t="n">
        <v>8</v>
      </c>
      <c r="I48" s="16" t="n">
        <v>7</v>
      </c>
      <c r="J48" s="16" t="n">
        <v>8</v>
      </c>
      <c r="K48" s="16" t="n">
        <v>7</v>
      </c>
      <c r="L48" s="16" t="n">
        <v>8</v>
      </c>
      <c r="M48" s="16" t="n">
        <v>10</v>
      </c>
      <c r="N48" s="17" t="s">
        <v>145</v>
      </c>
    </row>
    <row r="49" customFormat="false" ht="43.5" hidden="false" customHeight="true" outlineLevel="0" collapsed="false">
      <c r="A49" s="13" t="s">
        <v>131</v>
      </c>
      <c r="B49" s="14" t="s">
        <v>146</v>
      </c>
      <c r="C49" s="15" t="n">
        <f aca="false">AVERAGE(D49:M49)</f>
        <v>4.3</v>
      </c>
      <c r="D49" s="16" t="n">
        <v>5</v>
      </c>
      <c r="E49" s="16" t="n">
        <v>6</v>
      </c>
      <c r="F49" s="16" t="n">
        <v>4</v>
      </c>
      <c r="G49" s="16" t="n">
        <v>4</v>
      </c>
      <c r="H49" s="16" t="n">
        <v>4</v>
      </c>
      <c r="I49" s="16" t="n">
        <v>3</v>
      </c>
      <c r="J49" s="16" t="n">
        <v>4</v>
      </c>
      <c r="K49" s="16" t="n">
        <v>3</v>
      </c>
      <c r="L49" s="16" t="n">
        <v>4</v>
      </c>
      <c r="M49" s="16" t="n">
        <v>6</v>
      </c>
      <c r="N49" s="17" t="s">
        <v>147</v>
      </c>
    </row>
    <row r="50" customFormat="false" ht="43.5" hidden="false" customHeight="true" outlineLevel="0" collapsed="false">
      <c r="A50" s="13" t="s">
        <v>131</v>
      </c>
      <c r="B50" s="14" t="s">
        <v>148</v>
      </c>
      <c r="C50" s="15" t="n">
        <f aca="false">AVERAGE(D50:M50)</f>
        <v>4.3</v>
      </c>
      <c r="D50" s="16" t="n">
        <v>5</v>
      </c>
      <c r="E50" s="16" t="n">
        <v>6</v>
      </c>
      <c r="F50" s="16" t="n">
        <v>4</v>
      </c>
      <c r="G50" s="16" t="n">
        <v>4</v>
      </c>
      <c r="H50" s="16" t="n">
        <v>4</v>
      </c>
      <c r="I50" s="16" t="n">
        <v>3</v>
      </c>
      <c r="J50" s="16" t="n">
        <v>4</v>
      </c>
      <c r="K50" s="16" t="n">
        <v>3</v>
      </c>
      <c r="L50" s="16" t="n">
        <v>4</v>
      </c>
      <c r="M50" s="16" t="n">
        <v>6</v>
      </c>
      <c r="N50" s="17" t="s">
        <v>149</v>
      </c>
    </row>
    <row r="51" customFormat="false" ht="43.5" hidden="false" customHeight="true" outlineLevel="0" collapsed="false">
      <c r="A51" s="13" t="s">
        <v>131</v>
      </c>
      <c r="B51" s="14" t="s">
        <v>150</v>
      </c>
      <c r="C51" s="15" t="n">
        <f aca="false">AVERAGE(D51:M51)</f>
        <v>6.3</v>
      </c>
      <c r="D51" s="16" t="n">
        <v>7</v>
      </c>
      <c r="E51" s="16" t="n">
        <v>8</v>
      </c>
      <c r="F51" s="16" t="n">
        <v>6</v>
      </c>
      <c r="G51" s="16" t="n">
        <v>6</v>
      </c>
      <c r="H51" s="16" t="n">
        <v>6</v>
      </c>
      <c r="I51" s="16" t="n">
        <v>5</v>
      </c>
      <c r="J51" s="16" t="n">
        <v>6</v>
      </c>
      <c r="K51" s="16" t="n">
        <v>5</v>
      </c>
      <c r="L51" s="16" t="n">
        <v>6</v>
      </c>
      <c r="M51" s="16" t="n">
        <v>8</v>
      </c>
      <c r="N51" s="17" t="s">
        <v>151</v>
      </c>
    </row>
    <row r="52" customFormat="false" ht="43.5" hidden="false" customHeight="true" outlineLevel="0" collapsed="false">
      <c r="A52" s="13" t="s">
        <v>152</v>
      </c>
      <c r="B52" s="14" t="s">
        <v>153</v>
      </c>
      <c r="C52" s="15" t="n">
        <f aca="false">AVERAGE(D52:M52)</f>
        <v>8.4</v>
      </c>
      <c r="D52" s="16" t="n">
        <v>9</v>
      </c>
      <c r="E52" s="16" t="n">
        <v>10</v>
      </c>
      <c r="F52" s="16" t="n">
        <v>9</v>
      </c>
      <c r="G52" s="16" t="n">
        <v>9</v>
      </c>
      <c r="H52" s="16" t="n">
        <v>7</v>
      </c>
      <c r="I52" s="16" t="n">
        <v>7</v>
      </c>
      <c r="J52" s="16" t="n">
        <v>8</v>
      </c>
      <c r="K52" s="16" t="n">
        <v>7</v>
      </c>
      <c r="L52" s="16" t="n">
        <v>9</v>
      </c>
      <c r="M52" s="16" t="n">
        <v>9</v>
      </c>
      <c r="N52" s="17" t="s">
        <v>154</v>
      </c>
    </row>
    <row r="53" customFormat="false" ht="43.5" hidden="false" customHeight="true" outlineLevel="0" collapsed="false">
      <c r="A53" s="13" t="s">
        <v>152</v>
      </c>
      <c r="B53" s="14" t="s">
        <v>155</v>
      </c>
      <c r="C53" s="15" t="n">
        <f aca="false">AVERAGE(D53:M53)</f>
        <v>9.3</v>
      </c>
      <c r="D53" s="16" t="n">
        <v>10</v>
      </c>
      <c r="E53" s="16" t="n">
        <v>10</v>
      </c>
      <c r="F53" s="16" t="n">
        <v>10</v>
      </c>
      <c r="G53" s="16" t="n">
        <v>10</v>
      </c>
      <c r="H53" s="16" t="n">
        <v>8</v>
      </c>
      <c r="I53" s="16" t="n">
        <v>8</v>
      </c>
      <c r="J53" s="16" t="n">
        <v>9</v>
      </c>
      <c r="K53" s="16" t="n">
        <v>8</v>
      </c>
      <c r="L53" s="16" t="n">
        <v>10</v>
      </c>
      <c r="M53" s="16" t="n">
        <v>10</v>
      </c>
      <c r="N53" s="17" t="s">
        <v>156</v>
      </c>
    </row>
    <row r="54" customFormat="false" ht="43.5" hidden="false" customHeight="true" outlineLevel="0" collapsed="false">
      <c r="A54" s="13" t="s">
        <v>152</v>
      </c>
      <c r="B54" s="14" t="s">
        <v>157</v>
      </c>
      <c r="C54" s="15" t="n">
        <f aca="false">AVERAGE(D54:M54)</f>
        <v>9.3</v>
      </c>
      <c r="D54" s="16" t="n">
        <v>10</v>
      </c>
      <c r="E54" s="16" t="n">
        <v>10</v>
      </c>
      <c r="F54" s="16" t="n">
        <v>10</v>
      </c>
      <c r="G54" s="16" t="n">
        <v>10</v>
      </c>
      <c r="H54" s="16" t="n">
        <v>8</v>
      </c>
      <c r="I54" s="16" t="n">
        <v>8</v>
      </c>
      <c r="J54" s="16" t="n">
        <v>9</v>
      </c>
      <c r="K54" s="16" t="n">
        <v>8</v>
      </c>
      <c r="L54" s="16" t="n">
        <v>10</v>
      </c>
      <c r="M54" s="16" t="n">
        <v>10</v>
      </c>
      <c r="N54" s="17" t="s">
        <v>158</v>
      </c>
    </row>
    <row r="55" customFormat="false" ht="43.5" hidden="false" customHeight="true" outlineLevel="0" collapsed="false">
      <c r="A55" s="13" t="s">
        <v>152</v>
      </c>
      <c r="B55" s="14" t="s">
        <v>159</v>
      </c>
      <c r="C55" s="15" t="n">
        <f aca="false">AVERAGE(D55:M55)</f>
        <v>9.3</v>
      </c>
      <c r="D55" s="16" t="n">
        <v>10</v>
      </c>
      <c r="E55" s="16" t="n">
        <v>10</v>
      </c>
      <c r="F55" s="16" t="n">
        <v>10</v>
      </c>
      <c r="G55" s="16" t="n">
        <v>10</v>
      </c>
      <c r="H55" s="16" t="n">
        <v>8</v>
      </c>
      <c r="I55" s="16" t="n">
        <v>8</v>
      </c>
      <c r="J55" s="16" t="n">
        <v>9</v>
      </c>
      <c r="K55" s="16" t="n">
        <v>8</v>
      </c>
      <c r="L55" s="16" t="n">
        <v>10</v>
      </c>
      <c r="M55" s="16" t="n">
        <v>10</v>
      </c>
      <c r="N55" s="17" t="s">
        <v>160</v>
      </c>
    </row>
    <row r="56" customFormat="false" ht="43.5" hidden="false" customHeight="true" outlineLevel="0" collapsed="false">
      <c r="A56" s="13" t="s">
        <v>152</v>
      </c>
      <c r="B56" s="14" t="s">
        <v>161</v>
      </c>
      <c r="C56" s="15" t="n">
        <f aca="false">AVERAGE(D56:M56)</f>
        <v>6.4</v>
      </c>
      <c r="D56" s="16" t="n">
        <v>7</v>
      </c>
      <c r="E56" s="16" t="n">
        <v>8</v>
      </c>
      <c r="F56" s="16" t="n">
        <v>7</v>
      </c>
      <c r="G56" s="16" t="n">
        <v>7</v>
      </c>
      <c r="H56" s="16" t="n">
        <v>5</v>
      </c>
      <c r="I56" s="16" t="n">
        <v>5</v>
      </c>
      <c r="J56" s="16" t="n">
        <v>6</v>
      </c>
      <c r="K56" s="16" t="n">
        <v>5</v>
      </c>
      <c r="L56" s="16" t="n">
        <v>7</v>
      </c>
      <c r="M56" s="16" t="n">
        <v>7</v>
      </c>
      <c r="N56" s="17" t="s">
        <v>162</v>
      </c>
    </row>
    <row r="57" customFormat="false" ht="43.5" hidden="false" customHeight="true" outlineLevel="0" collapsed="false">
      <c r="A57" s="13" t="s">
        <v>152</v>
      </c>
      <c r="B57" s="14" t="s">
        <v>163</v>
      </c>
      <c r="C57" s="15" t="n">
        <f aca="false">AVERAGE(D57:M57)</f>
        <v>3.4</v>
      </c>
      <c r="D57" s="16" t="n">
        <v>4</v>
      </c>
      <c r="E57" s="16" t="n">
        <v>5</v>
      </c>
      <c r="F57" s="16" t="n">
        <v>4</v>
      </c>
      <c r="G57" s="16" t="n">
        <v>4</v>
      </c>
      <c r="H57" s="16" t="n">
        <v>2</v>
      </c>
      <c r="I57" s="16" t="n">
        <v>2</v>
      </c>
      <c r="J57" s="16" t="n">
        <v>3</v>
      </c>
      <c r="K57" s="16" t="n">
        <v>2</v>
      </c>
      <c r="L57" s="16" t="n">
        <v>4</v>
      </c>
      <c r="M57" s="16" t="n">
        <v>4</v>
      </c>
      <c r="N57" s="17" t="s">
        <v>164</v>
      </c>
    </row>
    <row r="58" customFormat="false" ht="43.5" hidden="false" customHeight="true" outlineLevel="0" collapsed="false">
      <c r="A58" s="13" t="s">
        <v>152</v>
      </c>
      <c r="B58" s="14" t="s">
        <v>165</v>
      </c>
      <c r="C58" s="15" t="n">
        <f aca="false">AVERAGE(D58:M58)</f>
        <v>6.4</v>
      </c>
      <c r="D58" s="16" t="n">
        <v>7</v>
      </c>
      <c r="E58" s="16" t="n">
        <v>8</v>
      </c>
      <c r="F58" s="16" t="n">
        <v>7</v>
      </c>
      <c r="G58" s="16" t="n">
        <v>7</v>
      </c>
      <c r="H58" s="16" t="n">
        <v>5</v>
      </c>
      <c r="I58" s="16" t="n">
        <v>5</v>
      </c>
      <c r="J58" s="16" t="n">
        <v>6</v>
      </c>
      <c r="K58" s="16" t="n">
        <v>5</v>
      </c>
      <c r="L58" s="16" t="n">
        <v>7</v>
      </c>
      <c r="M58" s="16" t="n">
        <v>7</v>
      </c>
      <c r="N58" s="17" t="s">
        <v>166</v>
      </c>
    </row>
    <row r="59" customFormat="false" ht="43.5" hidden="false" customHeight="true" outlineLevel="0" collapsed="false">
      <c r="A59" s="13" t="s">
        <v>152</v>
      </c>
      <c r="B59" s="14" t="s">
        <v>167</v>
      </c>
      <c r="C59" s="15" t="n">
        <f aca="false">AVERAGE(D59:M59)</f>
        <v>6.4</v>
      </c>
      <c r="D59" s="16" t="n">
        <v>7</v>
      </c>
      <c r="E59" s="16" t="n">
        <v>8</v>
      </c>
      <c r="F59" s="16" t="n">
        <v>7</v>
      </c>
      <c r="G59" s="16" t="n">
        <v>7</v>
      </c>
      <c r="H59" s="16" t="n">
        <v>5</v>
      </c>
      <c r="I59" s="16" t="n">
        <v>5</v>
      </c>
      <c r="J59" s="16" t="n">
        <v>6</v>
      </c>
      <c r="K59" s="16" t="n">
        <v>5</v>
      </c>
      <c r="L59" s="16" t="n">
        <v>7</v>
      </c>
      <c r="M59" s="16" t="n">
        <v>7</v>
      </c>
      <c r="N59" s="17" t="s">
        <v>168</v>
      </c>
    </row>
    <row r="60" customFormat="false" ht="43.5" hidden="false" customHeight="true" outlineLevel="0" collapsed="false">
      <c r="A60" s="13" t="s">
        <v>152</v>
      </c>
      <c r="B60" s="14" t="s">
        <v>169</v>
      </c>
      <c r="C60" s="15" t="n">
        <f aca="false">AVERAGE(D60:M60)</f>
        <v>8.4</v>
      </c>
      <c r="D60" s="16" t="n">
        <v>9</v>
      </c>
      <c r="E60" s="16" t="n">
        <v>10</v>
      </c>
      <c r="F60" s="16" t="n">
        <v>9</v>
      </c>
      <c r="G60" s="16" t="n">
        <v>9</v>
      </c>
      <c r="H60" s="16" t="n">
        <v>7</v>
      </c>
      <c r="I60" s="16" t="n">
        <v>7</v>
      </c>
      <c r="J60" s="16" t="n">
        <v>8</v>
      </c>
      <c r="K60" s="16" t="n">
        <v>7</v>
      </c>
      <c r="L60" s="16" t="n">
        <v>9</v>
      </c>
      <c r="M60" s="16" t="n">
        <v>9</v>
      </c>
      <c r="N60" s="17" t="s">
        <v>170</v>
      </c>
    </row>
    <row r="61" customFormat="false" ht="43.5" hidden="false" customHeight="true" outlineLevel="0" collapsed="false">
      <c r="A61" s="13" t="s">
        <v>152</v>
      </c>
      <c r="B61" s="14" t="s">
        <v>171</v>
      </c>
      <c r="C61" s="15" t="n">
        <f aca="false">AVERAGE(D61:M61)</f>
        <v>3.4</v>
      </c>
      <c r="D61" s="16" t="n">
        <v>4</v>
      </c>
      <c r="E61" s="16" t="n">
        <v>5</v>
      </c>
      <c r="F61" s="16" t="n">
        <v>4</v>
      </c>
      <c r="G61" s="16" t="n">
        <v>4</v>
      </c>
      <c r="H61" s="16" t="n">
        <v>2</v>
      </c>
      <c r="I61" s="16" t="n">
        <v>2</v>
      </c>
      <c r="J61" s="16" t="n">
        <v>3</v>
      </c>
      <c r="K61" s="16" t="n">
        <v>2</v>
      </c>
      <c r="L61" s="16" t="n">
        <v>4</v>
      </c>
      <c r="M61" s="16" t="n">
        <v>4</v>
      </c>
      <c r="N61" s="17" t="s">
        <v>172</v>
      </c>
    </row>
    <row r="62" customFormat="false" ht="43.5" hidden="false" customHeight="true" outlineLevel="0" collapsed="false">
      <c r="A62" s="13" t="s">
        <v>173</v>
      </c>
      <c r="B62" s="14" t="s">
        <v>174</v>
      </c>
      <c r="C62" s="15" t="n">
        <f aca="false">AVERAGE(D62:M62)</f>
        <v>6.9</v>
      </c>
      <c r="D62" s="16" t="n">
        <v>7</v>
      </c>
      <c r="E62" s="16" t="n">
        <v>8</v>
      </c>
      <c r="F62" s="16" t="n">
        <v>6</v>
      </c>
      <c r="G62" s="16" t="n">
        <v>7</v>
      </c>
      <c r="H62" s="16" t="n">
        <v>7</v>
      </c>
      <c r="I62" s="16" t="n">
        <v>7</v>
      </c>
      <c r="J62" s="16" t="n">
        <v>6</v>
      </c>
      <c r="K62" s="16" t="n">
        <v>6</v>
      </c>
      <c r="L62" s="16" t="n">
        <v>8</v>
      </c>
      <c r="M62" s="16" t="n">
        <v>7</v>
      </c>
      <c r="N62" s="17" t="s">
        <v>175</v>
      </c>
    </row>
    <row r="63" customFormat="false" ht="43.5" hidden="false" customHeight="true" outlineLevel="0" collapsed="false">
      <c r="A63" s="13" t="s">
        <v>173</v>
      </c>
      <c r="B63" s="14" t="s">
        <v>176</v>
      </c>
      <c r="C63" s="15" t="n">
        <f aca="false">AVERAGE(D63:M63)</f>
        <v>7.9</v>
      </c>
      <c r="D63" s="16" t="n">
        <v>8</v>
      </c>
      <c r="E63" s="16" t="n">
        <v>9</v>
      </c>
      <c r="F63" s="16" t="n">
        <v>7</v>
      </c>
      <c r="G63" s="16" t="n">
        <v>8</v>
      </c>
      <c r="H63" s="16" t="n">
        <v>8</v>
      </c>
      <c r="I63" s="16" t="n">
        <v>8</v>
      </c>
      <c r="J63" s="16" t="n">
        <v>7</v>
      </c>
      <c r="K63" s="16" t="n">
        <v>7</v>
      </c>
      <c r="L63" s="16" t="n">
        <v>9</v>
      </c>
      <c r="M63" s="16" t="n">
        <v>8</v>
      </c>
      <c r="N63" s="17" t="s">
        <v>177</v>
      </c>
    </row>
    <row r="64" customFormat="false" ht="43.5" hidden="false" customHeight="true" outlineLevel="0" collapsed="false">
      <c r="A64" s="13" t="s">
        <v>173</v>
      </c>
      <c r="B64" s="14" t="s">
        <v>178</v>
      </c>
      <c r="C64" s="15" t="n">
        <f aca="false">AVERAGE(D64:M64)</f>
        <v>6.9</v>
      </c>
      <c r="D64" s="16" t="n">
        <v>7</v>
      </c>
      <c r="E64" s="16" t="n">
        <v>8</v>
      </c>
      <c r="F64" s="16" t="n">
        <v>6</v>
      </c>
      <c r="G64" s="16" t="n">
        <v>7</v>
      </c>
      <c r="H64" s="16" t="n">
        <v>7</v>
      </c>
      <c r="I64" s="16" t="n">
        <v>7</v>
      </c>
      <c r="J64" s="16" t="n">
        <v>6</v>
      </c>
      <c r="K64" s="16" t="n">
        <v>6</v>
      </c>
      <c r="L64" s="16" t="n">
        <v>8</v>
      </c>
      <c r="M64" s="16" t="n">
        <v>7</v>
      </c>
      <c r="N64" s="17" t="s">
        <v>179</v>
      </c>
    </row>
    <row r="65" customFormat="false" ht="43.5" hidden="false" customHeight="true" outlineLevel="0" collapsed="false">
      <c r="A65" s="13" t="s">
        <v>173</v>
      </c>
      <c r="B65" s="14" t="s">
        <v>180</v>
      </c>
      <c r="C65" s="15" t="n">
        <f aca="false">AVERAGE(D65:M65)</f>
        <v>6.9</v>
      </c>
      <c r="D65" s="16" t="n">
        <v>7</v>
      </c>
      <c r="E65" s="16" t="n">
        <v>8</v>
      </c>
      <c r="F65" s="16" t="n">
        <v>6</v>
      </c>
      <c r="G65" s="16" t="n">
        <v>7</v>
      </c>
      <c r="H65" s="16" t="n">
        <v>7</v>
      </c>
      <c r="I65" s="16" t="n">
        <v>7</v>
      </c>
      <c r="J65" s="16" t="n">
        <v>6</v>
      </c>
      <c r="K65" s="16" t="n">
        <v>6</v>
      </c>
      <c r="L65" s="16" t="n">
        <v>8</v>
      </c>
      <c r="M65" s="16" t="n">
        <v>7</v>
      </c>
      <c r="N65" s="17" t="s">
        <v>181</v>
      </c>
    </row>
    <row r="66" customFormat="false" ht="43.5" hidden="false" customHeight="true" outlineLevel="0" collapsed="false">
      <c r="A66" s="13" t="s">
        <v>173</v>
      </c>
      <c r="B66" s="14" t="s">
        <v>182</v>
      </c>
      <c r="C66" s="15" t="n">
        <f aca="false">AVERAGE(D66:M66)</f>
        <v>5.9</v>
      </c>
      <c r="D66" s="16" t="n">
        <v>6</v>
      </c>
      <c r="E66" s="16" t="n">
        <v>7</v>
      </c>
      <c r="F66" s="16" t="n">
        <v>5</v>
      </c>
      <c r="G66" s="16" t="n">
        <v>6</v>
      </c>
      <c r="H66" s="16" t="n">
        <v>6</v>
      </c>
      <c r="I66" s="16" t="n">
        <v>6</v>
      </c>
      <c r="J66" s="16" t="n">
        <v>5</v>
      </c>
      <c r="K66" s="16" t="n">
        <v>5</v>
      </c>
      <c r="L66" s="16" t="n">
        <v>7</v>
      </c>
      <c r="M66" s="16" t="n">
        <v>6</v>
      </c>
      <c r="N66" s="17" t="s">
        <v>183</v>
      </c>
    </row>
    <row r="67" customFormat="false" ht="43.5" hidden="false" customHeight="true" outlineLevel="0" collapsed="false">
      <c r="A67" s="13" t="s">
        <v>173</v>
      </c>
      <c r="B67" s="14" t="s">
        <v>184</v>
      </c>
      <c r="C67" s="15" t="n">
        <f aca="false">AVERAGE(D67:M67)</f>
        <v>2.9</v>
      </c>
      <c r="D67" s="16" t="n">
        <v>3</v>
      </c>
      <c r="E67" s="16" t="n">
        <v>4</v>
      </c>
      <c r="F67" s="16" t="n">
        <v>2</v>
      </c>
      <c r="G67" s="16" t="n">
        <v>3</v>
      </c>
      <c r="H67" s="16" t="n">
        <v>3</v>
      </c>
      <c r="I67" s="16" t="n">
        <v>3</v>
      </c>
      <c r="J67" s="16" t="n">
        <v>2</v>
      </c>
      <c r="K67" s="16" t="n">
        <v>2</v>
      </c>
      <c r="L67" s="16" t="n">
        <v>4</v>
      </c>
      <c r="M67" s="16" t="n">
        <v>3</v>
      </c>
      <c r="N67" s="17" t="s">
        <v>185</v>
      </c>
    </row>
    <row r="68" customFormat="false" ht="43.5" hidden="false" customHeight="true" outlineLevel="0" collapsed="false">
      <c r="A68" s="13" t="s">
        <v>173</v>
      </c>
      <c r="B68" s="14" t="s">
        <v>186</v>
      </c>
      <c r="C68" s="15" t="n">
        <f aca="false">AVERAGE(D68:M68)</f>
        <v>7.9</v>
      </c>
      <c r="D68" s="16" t="n">
        <v>8</v>
      </c>
      <c r="E68" s="16" t="n">
        <v>9</v>
      </c>
      <c r="F68" s="16" t="n">
        <v>7</v>
      </c>
      <c r="G68" s="16" t="n">
        <v>8</v>
      </c>
      <c r="H68" s="16" t="n">
        <v>8</v>
      </c>
      <c r="I68" s="16" t="n">
        <v>8</v>
      </c>
      <c r="J68" s="16" t="n">
        <v>7</v>
      </c>
      <c r="K68" s="16" t="n">
        <v>7</v>
      </c>
      <c r="L68" s="16" t="n">
        <v>9</v>
      </c>
      <c r="M68" s="16" t="n">
        <v>8</v>
      </c>
      <c r="N68" s="17" t="s">
        <v>187</v>
      </c>
    </row>
    <row r="69" customFormat="false" ht="43.5" hidden="false" customHeight="true" outlineLevel="0" collapsed="false">
      <c r="A69" s="13" t="s">
        <v>173</v>
      </c>
      <c r="B69" s="14" t="s">
        <v>188</v>
      </c>
      <c r="C69" s="15" t="n">
        <f aca="false">AVERAGE(D69:M69)</f>
        <v>7.9</v>
      </c>
      <c r="D69" s="16" t="n">
        <v>8</v>
      </c>
      <c r="E69" s="16" t="n">
        <v>9</v>
      </c>
      <c r="F69" s="16" t="n">
        <v>7</v>
      </c>
      <c r="G69" s="16" t="n">
        <v>8</v>
      </c>
      <c r="H69" s="16" t="n">
        <v>8</v>
      </c>
      <c r="I69" s="16" t="n">
        <v>8</v>
      </c>
      <c r="J69" s="16" t="n">
        <v>7</v>
      </c>
      <c r="K69" s="16" t="n">
        <v>7</v>
      </c>
      <c r="L69" s="16" t="n">
        <v>9</v>
      </c>
      <c r="M69" s="16" t="n">
        <v>8</v>
      </c>
      <c r="N69" s="17" t="s">
        <v>189</v>
      </c>
    </row>
    <row r="70" customFormat="false" ht="43.5" hidden="false" customHeight="true" outlineLevel="0" collapsed="false">
      <c r="A70" s="13" t="s">
        <v>173</v>
      </c>
      <c r="B70" s="14" t="s">
        <v>190</v>
      </c>
      <c r="C70" s="15" t="n">
        <f aca="false">AVERAGE(D70:M70)</f>
        <v>2.9</v>
      </c>
      <c r="D70" s="16" t="n">
        <v>3</v>
      </c>
      <c r="E70" s="16" t="n">
        <v>4</v>
      </c>
      <c r="F70" s="16" t="n">
        <v>2</v>
      </c>
      <c r="G70" s="16" t="n">
        <v>3</v>
      </c>
      <c r="H70" s="16" t="n">
        <v>3</v>
      </c>
      <c r="I70" s="16" t="n">
        <v>3</v>
      </c>
      <c r="J70" s="16" t="n">
        <v>2</v>
      </c>
      <c r="K70" s="16" t="n">
        <v>2</v>
      </c>
      <c r="L70" s="16" t="n">
        <v>4</v>
      </c>
      <c r="M70" s="16" t="n">
        <v>3</v>
      </c>
      <c r="N70" s="17" t="s">
        <v>191</v>
      </c>
    </row>
    <row r="71" customFormat="false" ht="43.5" hidden="false" customHeight="true" outlineLevel="0" collapsed="false">
      <c r="A71" s="13" t="s">
        <v>173</v>
      </c>
      <c r="B71" s="14" t="s">
        <v>192</v>
      </c>
      <c r="C71" s="15" t="n">
        <f aca="false">AVERAGE(D71:M71)</f>
        <v>5.9</v>
      </c>
      <c r="D71" s="16" t="n">
        <v>6</v>
      </c>
      <c r="E71" s="16" t="n">
        <v>7</v>
      </c>
      <c r="F71" s="16" t="n">
        <v>5</v>
      </c>
      <c r="G71" s="16" t="n">
        <v>6</v>
      </c>
      <c r="H71" s="16" t="n">
        <v>6</v>
      </c>
      <c r="I71" s="16" t="n">
        <v>6</v>
      </c>
      <c r="J71" s="16" t="n">
        <v>5</v>
      </c>
      <c r="K71" s="16" t="n">
        <v>5</v>
      </c>
      <c r="L71" s="16" t="n">
        <v>7</v>
      </c>
      <c r="M71" s="16" t="n">
        <v>6</v>
      </c>
      <c r="N71" s="17" t="s">
        <v>193</v>
      </c>
    </row>
    <row r="72" customFormat="false" ht="43.5" hidden="false" customHeight="true" outlineLevel="0" collapsed="false">
      <c r="A72" s="13" t="s">
        <v>194</v>
      </c>
      <c r="B72" s="14" t="s">
        <v>195</v>
      </c>
      <c r="C72" s="15" t="n">
        <f aca="false">AVERAGE(D72:M72)</f>
        <v>8.9</v>
      </c>
      <c r="D72" s="16" t="n">
        <v>10</v>
      </c>
      <c r="E72" s="16" t="n">
        <v>9</v>
      </c>
      <c r="F72" s="16" t="n">
        <v>10</v>
      </c>
      <c r="G72" s="16" t="n">
        <v>9</v>
      </c>
      <c r="H72" s="16" t="n">
        <v>9</v>
      </c>
      <c r="I72" s="16" t="n">
        <v>8</v>
      </c>
      <c r="J72" s="16" t="n">
        <v>8</v>
      </c>
      <c r="K72" s="16" t="n">
        <v>8</v>
      </c>
      <c r="L72" s="16" t="n">
        <v>9</v>
      </c>
      <c r="M72" s="16" t="n">
        <v>9</v>
      </c>
      <c r="N72" s="17" t="s">
        <v>196</v>
      </c>
    </row>
    <row r="73" customFormat="false" ht="43.5" hidden="false" customHeight="true" outlineLevel="0" collapsed="false">
      <c r="A73" s="13" t="s">
        <v>194</v>
      </c>
      <c r="B73" s="14" t="s">
        <v>197</v>
      </c>
      <c r="C73" s="15" t="n">
        <f aca="false">AVERAGE(D73:M73)</f>
        <v>7.9</v>
      </c>
      <c r="D73" s="16" t="n">
        <v>9</v>
      </c>
      <c r="E73" s="16" t="n">
        <v>8</v>
      </c>
      <c r="F73" s="16" t="n">
        <v>9</v>
      </c>
      <c r="G73" s="16" t="n">
        <v>8</v>
      </c>
      <c r="H73" s="16" t="n">
        <v>8</v>
      </c>
      <c r="I73" s="16" t="n">
        <v>7</v>
      </c>
      <c r="J73" s="16" t="n">
        <v>7</v>
      </c>
      <c r="K73" s="16" t="n">
        <v>7</v>
      </c>
      <c r="L73" s="16" t="n">
        <v>8</v>
      </c>
      <c r="M73" s="16" t="n">
        <v>8</v>
      </c>
      <c r="N73" s="17" t="s">
        <v>198</v>
      </c>
    </row>
    <row r="74" customFormat="false" ht="43.5" hidden="false" customHeight="true" outlineLevel="0" collapsed="false">
      <c r="A74" s="13" t="s">
        <v>194</v>
      </c>
      <c r="B74" s="14" t="s">
        <v>199</v>
      </c>
      <c r="C74" s="15" t="n">
        <f aca="false">AVERAGE(D74:M74)</f>
        <v>7.9</v>
      </c>
      <c r="D74" s="16" t="n">
        <v>9</v>
      </c>
      <c r="E74" s="16" t="n">
        <v>8</v>
      </c>
      <c r="F74" s="16" t="n">
        <v>9</v>
      </c>
      <c r="G74" s="16" t="n">
        <v>8</v>
      </c>
      <c r="H74" s="16" t="n">
        <v>8</v>
      </c>
      <c r="I74" s="16" t="n">
        <v>7</v>
      </c>
      <c r="J74" s="16" t="n">
        <v>7</v>
      </c>
      <c r="K74" s="16" t="n">
        <v>7</v>
      </c>
      <c r="L74" s="16" t="n">
        <v>8</v>
      </c>
      <c r="M74" s="16" t="n">
        <v>8</v>
      </c>
      <c r="N74" s="17" t="s">
        <v>200</v>
      </c>
    </row>
    <row r="75" customFormat="false" ht="43.5" hidden="false" customHeight="true" outlineLevel="0" collapsed="false">
      <c r="A75" s="13" t="s">
        <v>194</v>
      </c>
      <c r="B75" s="14" t="s">
        <v>201</v>
      </c>
      <c r="C75" s="15" t="n">
        <f aca="false">AVERAGE(D75:M75)</f>
        <v>6.9</v>
      </c>
      <c r="D75" s="16" t="n">
        <v>8</v>
      </c>
      <c r="E75" s="16" t="n">
        <v>7</v>
      </c>
      <c r="F75" s="16" t="n">
        <v>8</v>
      </c>
      <c r="G75" s="16" t="n">
        <v>7</v>
      </c>
      <c r="H75" s="16" t="n">
        <v>7</v>
      </c>
      <c r="I75" s="16" t="n">
        <v>6</v>
      </c>
      <c r="J75" s="16" t="n">
        <v>6</v>
      </c>
      <c r="K75" s="16" t="n">
        <v>6</v>
      </c>
      <c r="L75" s="16" t="n">
        <v>7</v>
      </c>
      <c r="M75" s="16" t="n">
        <v>7</v>
      </c>
      <c r="N75" s="17" t="s">
        <v>202</v>
      </c>
    </row>
    <row r="76" customFormat="false" ht="43.5" hidden="false" customHeight="true" outlineLevel="0" collapsed="false">
      <c r="A76" s="13" t="s">
        <v>194</v>
      </c>
      <c r="B76" s="14" t="s">
        <v>203</v>
      </c>
      <c r="C76" s="15" t="n">
        <f aca="false">AVERAGE(D76:M76)</f>
        <v>3.9</v>
      </c>
      <c r="D76" s="16" t="n">
        <v>5</v>
      </c>
      <c r="E76" s="16" t="n">
        <v>4</v>
      </c>
      <c r="F76" s="16" t="n">
        <v>5</v>
      </c>
      <c r="G76" s="16" t="n">
        <v>4</v>
      </c>
      <c r="H76" s="16" t="n">
        <v>4</v>
      </c>
      <c r="I76" s="16" t="n">
        <v>3</v>
      </c>
      <c r="J76" s="16" t="n">
        <v>3</v>
      </c>
      <c r="K76" s="16" t="n">
        <v>3</v>
      </c>
      <c r="L76" s="16" t="n">
        <v>4</v>
      </c>
      <c r="M76" s="16" t="n">
        <v>4</v>
      </c>
      <c r="N76" s="17" t="s">
        <v>204</v>
      </c>
    </row>
    <row r="77" customFormat="false" ht="43.5" hidden="false" customHeight="true" outlineLevel="0" collapsed="false">
      <c r="A77" s="13" t="s">
        <v>194</v>
      </c>
      <c r="B77" s="14" t="s">
        <v>205</v>
      </c>
      <c r="C77" s="15" t="n">
        <f aca="false">AVERAGE(D77:M77)</f>
        <v>3.9</v>
      </c>
      <c r="D77" s="16" t="n">
        <v>5</v>
      </c>
      <c r="E77" s="16" t="n">
        <v>4</v>
      </c>
      <c r="F77" s="16" t="n">
        <v>5</v>
      </c>
      <c r="G77" s="16" t="n">
        <v>4</v>
      </c>
      <c r="H77" s="16" t="n">
        <v>4</v>
      </c>
      <c r="I77" s="16" t="n">
        <v>3</v>
      </c>
      <c r="J77" s="16" t="n">
        <v>3</v>
      </c>
      <c r="K77" s="16" t="n">
        <v>3</v>
      </c>
      <c r="L77" s="16" t="n">
        <v>4</v>
      </c>
      <c r="M77" s="16" t="n">
        <v>4</v>
      </c>
      <c r="N77" s="17" t="s">
        <v>206</v>
      </c>
    </row>
    <row r="78" customFormat="false" ht="43.5" hidden="false" customHeight="true" outlineLevel="0" collapsed="false">
      <c r="A78" s="13" t="s">
        <v>194</v>
      </c>
      <c r="B78" s="14" t="s">
        <v>207</v>
      </c>
      <c r="C78" s="15" t="n">
        <f aca="false">AVERAGE(D78:M78)</f>
        <v>6.9</v>
      </c>
      <c r="D78" s="16" t="n">
        <v>8</v>
      </c>
      <c r="E78" s="16" t="n">
        <v>7</v>
      </c>
      <c r="F78" s="16" t="n">
        <v>8</v>
      </c>
      <c r="G78" s="16" t="n">
        <v>7</v>
      </c>
      <c r="H78" s="16" t="n">
        <v>7</v>
      </c>
      <c r="I78" s="16" t="n">
        <v>6</v>
      </c>
      <c r="J78" s="16" t="n">
        <v>6</v>
      </c>
      <c r="K78" s="16" t="n">
        <v>6</v>
      </c>
      <c r="L78" s="16" t="n">
        <v>7</v>
      </c>
      <c r="M78" s="16" t="n">
        <v>7</v>
      </c>
      <c r="N78" s="17" t="s">
        <v>208</v>
      </c>
    </row>
    <row r="79" customFormat="false" ht="43.5" hidden="false" customHeight="true" outlineLevel="0" collapsed="false">
      <c r="A79" s="13" t="s">
        <v>194</v>
      </c>
      <c r="B79" s="14" t="s">
        <v>209</v>
      </c>
      <c r="C79" s="15" t="n">
        <f aca="false">AVERAGE(D79:M79)</f>
        <v>8.9</v>
      </c>
      <c r="D79" s="16" t="n">
        <v>10</v>
      </c>
      <c r="E79" s="16" t="n">
        <v>9</v>
      </c>
      <c r="F79" s="16" t="n">
        <v>10</v>
      </c>
      <c r="G79" s="16" t="n">
        <v>9</v>
      </c>
      <c r="H79" s="16" t="n">
        <v>9</v>
      </c>
      <c r="I79" s="16" t="n">
        <v>8</v>
      </c>
      <c r="J79" s="16" t="n">
        <v>8</v>
      </c>
      <c r="K79" s="16" t="n">
        <v>8</v>
      </c>
      <c r="L79" s="16" t="n">
        <v>9</v>
      </c>
      <c r="M79" s="16" t="n">
        <v>9</v>
      </c>
      <c r="N79" s="17" t="s">
        <v>210</v>
      </c>
    </row>
    <row r="80" customFormat="false" ht="43.5" hidden="false" customHeight="true" outlineLevel="0" collapsed="false">
      <c r="A80" s="13" t="s">
        <v>194</v>
      </c>
      <c r="B80" s="14" t="s">
        <v>211</v>
      </c>
      <c r="C80" s="15" t="n">
        <f aca="false">AVERAGE(D80:M80)</f>
        <v>7.9</v>
      </c>
      <c r="D80" s="16" t="n">
        <v>9</v>
      </c>
      <c r="E80" s="16" t="n">
        <v>8</v>
      </c>
      <c r="F80" s="16" t="n">
        <v>9</v>
      </c>
      <c r="G80" s="16" t="n">
        <v>8</v>
      </c>
      <c r="H80" s="16" t="n">
        <v>8</v>
      </c>
      <c r="I80" s="16" t="n">
        <v>7</v>
      </c>
      <c r="J80" s="16" t="n">
        <v>7</v>
      </c>
      <c r="K80" s="16" t="n">
        <v>7</v>
      </c>
      <c r="L80" s="16" t="n">
        <v>8</v>
      </c>
      <c r="M80" s="16" t="n">
        <v>8</v>
      </c>
      <c r="N80" s="17" t="s">
        <v>212</v>
      </c>
    </row>
    <row r="81" customFormat="false" ht="43.5" hidden="false" customHeight="true" outlineLevel="0" collapsed="false">
      <c r="A81" s="13" t="s">
        <v>194</v>
      </c>
      <c r="B81" s="14" t="s">
        <v>213</v>
      </c>
      <c r="C81" s="15" t="n">
        <f aca="false">AVERAGE(D81:M81)</f>
        <v>2.9</v>
      </c>
      <c r="D81" s="16" t="n">
        <v>4</v>
      </c>
      <c r="E81" s="16" t="n">
        <v>3</v>
      </c>
      <c r="F81" s="16" t="n">
        <v>4</v>
      </c>
      <c r="G81" s="16" t="n">
        <v>3</v>
      </c>
      <c r="H81" s="16" t="n">
        <v>3</v>
      </c>
      <c r="I81" s="16" t="n">
        <v>2</v>
      </c>
      <c r="J81" s="16" t="n">
        <v>2</v>
      </c>
      <c r="K81" s="16" t="n">
        <v>2</v>
      </c>
      <c r="L81" s="16" t="n">
        <v>3</v>
      </c>
      <c r="M81" s="16" t="n">
        <v>3</v>
      </c>
      <c r="N81" s="17" t="s">
        <v>214</v>
      </c>
    </row>
    <row r="82" customFormat="false" ht="43.5" hidden="false" customHeight="true" outlineLevel="0" collapsed="false">
      <c r="A82" s="13" t="s">
        <v>215</v>
      </c>
      <c r="B82" s="14" t="s">
        <v>216</v>
      </c>
      <c r="C82" s="15" t="n">
        <f aca="false">AVERAGE(D82:M82)</f>
        <v>1.5</v>
      </c>
      <c r="D82" s="16" t="n">
        <v>1</v>
      </c>
      <c r="E82" s="16" t="n">
        <v>2</v>
      </c>
      <c r="F82" s="16" t="n">
        <v>1</v>
      </c>
      <c r="G82" s="16" t="n">
        <v>1</v>
      </c>
      <c r="H82" s="16" t="n">
        <v>3</v>
      </c>
      <c r="I82" s="16" t="n">
        <v>1</v>
      </c>
      <c r="J82" s="16" t="n">
        <v>1</v>
      </c>
      <c r="K82" s="16" t="n">
        <v>2</v>
      </c>
      <c r="L82" s="16" t="n">
        <v>2</v>
      </c>
      <c r="M82" s="16" t="n">
        <v>1</v>
      </c>
      <c r="N82" s="17" t="s">
        <v>217</v>
      </c>
    </row>
    <row r="83" customFormat="false" ht="43.5" hidden="false" customHeight="true" outlineLevel="0" collapsed="false">
      <c r="A83" s="13" t="s">
        <v>215</v>
      </c>
      <c r="B83" s="14" t="s">
        <v>218</v>
      </c>
      <c r="C83" s="15" t="n">
        <f aca="false">AVERAGE(D83:M83)</f>
        <v>5.2</v>
      </c>
      <c r="D83" s="16" t="n">
        <v>5</v>
      </c>
      <c r="E83" s="16" t="n">
        <v>6</v>
      </c>
      <c r="F83" s="16" t="n">
        <v>3</v>
      </c>
      <c r="G83" s="16" t="n">
        <v>5</v>
      </c>
      <c r="H83" s="16" t="n">
        <v>7</v>
      </c>
      <c r="I83" s="16" t="n">
        <v>4</v>
      </c>
      <c r="J83" s="16" t="n">
        <v>5</v>
      </c>
      <c r="K83" s="16" t="n">
        <v>6</v>
      </c>
      <c r="L83" s="16" t="n">
        <v>6</v>
      </c>
      <c r="M83" s="16" t="n">
        <v>5</v>
      </c>
      <c r="N83" s="17" t="s">
        <v>219</v>
      </c>
    </row>
    <row r="84" customFormat="false" ht="43.5" hidden="false" customHeight="true" outlineLevel="0" collapsed="false">
      <c r="A84" s="13" t="s">
        <v>215</v>
      </c>
      <c r="B84" s="14" t="s">
        <v>220</v>
      </c>
      <c r="C84" s="15" t="n">
        <f aca="false">AVERAGE(D84:M84)</f>
        <v>7.2</v>
      </c>
      <c r="D84" s="16" t="n">
        <v>7</v>
      </c>
      <c r="E84" s="16" t="n">
        <v>8</v>
      </c>
      <c r="F84" s="16" t="n">
        <v>5</v>
      </c>
      <c r="G84" s="16" t="n">
        <v>7</v>
      </c>
      <c r="H84" s="16" t="n">
        <v>9</v>
      </c>
      <c r="I84" s="16" t="n">
        <v>6</v>
      </c>
      <c r="J84" s="16" t="n">
        <v>7</v>
      </c>
      <c r="K84" s="16" t="n">
        <v>8</v>
      </c>
      <c r="L84" s="16" t="n">
        <v>8</v>
      </c>
      <c r="M84" s="16" t="n">
        <v>7</v>
      </c>
      <c r="N84" s="17" t="s">
        <v>221</v>
      </c>
    </row>
    <row r="85" customFormat="false" ht="43.5" hidden="false" customHeight="true" outlineLevel="0" collapsed="false">
      <c r="A85" s="13" t="s">
        <v>215</v>
      </c>
      <c r="B85" s="14" t="s">
        <v>222</v>
      </c>
      <c r="C85" s="15" t="n">
        <f aca="false">AVERAGE(D85:M85)</f>
        <v>6.2</v>
      </c>
      <c r="D85" s="16" t="n">
        <v>6</v>
      </c>
      <c r="E85" s="16" t="n">
        <v>7</v>
      </c>
      <c r="F85" s="16" t="n">
        <v>4</v>
      </c>
      <c r="G85" s="16" t="n">
        <v>6</v>
      </c>
      <c r="H85" s="16" t="n">
        <v>8</v>
      </c>
      <c r="I85" s="16" t="n">
        <v>5</v>
      </c>
      <c r="J85" s="16" t="n">
        <v>6</v>
      </c>
      <c r="K85" s="16" t="n">
        <v>7</v>
      </c>
      <c r="L85" s="16" t="n">
        <v>7</v>
      </c>
      <c r="M85" s="16" t="n">
        <v>6</v>
      </c>
      <c r="N85" s="17" t="s">
        <v>223</v>
      </c>
    </row>
    <row r="86" customFormat="false" ht="43.5" hidden="false" customHeight="true" outlineLevel="0" collapsed="false">
      <c r="A86" s="13" t="s">
        <v>215</v>
      </c>
      <c r="B86" s="14" t="s">
        <v>224</v>
      </c>
      <c r="C86" s="15" t="n">
        <f aca="false">AVERAGE(D86:M86)</f>
        <v>3.2</v>
      </c>
      <c r="D86" s="16" t="n">
        <v>3</v>
      </c>
      <c r="E86" s="16" t="n">
        <v>4</v>
      </c>
      <c r="F86" s="16" t="n">
        <v>1</v>
      </c>
      <c r="G86" s="16" t="n">
        <v>3</v>
      </c>
      <c r="H86" s="16" t="n">
        <v>5</v>
      </c>
      <c r="I86" s="16" t="n">
        <v>2</v>
      </c>
      <c r="J86" s="16" t="n">
        <v>3</v>
      </c>
      <c r="K86" s="16" t="n">
        <v>4</v>
      </c>
      <c r="L86" s="16" t="n">
        <v>4</v>
      </c>
      <c r="M86" s="16" t="n">
        <v>3</v>
      </c>
      <c r="N86" s="17" t="s">
        <v>225</v>
      </c>
    </row>
    <row r="87" customFormat="false" ht="43.5" hidden="false" customHeight="true" outlineLevel="0" collapsed="false">
      <c r="A87" s="13" t="s">
        <v>215</v>
      </c>
      <c r="B87" s="14" t="s">
        <v>226</v>
      </c>
      <c r="C87" s="15" t="n">
        <f aca="false">AVERAGE(D87:M87)</f>
        <v>4.2</v>
      </c>
      <c r="D87" s="16" t="n">
        <v>4</v>
      </c>
      <c r="E87" s="16" t="n">
        <v>5</v>
      </c>
      <c r="F87" s="16" t="n">
        <v>2</v>
      </c>
      <c r="G87" s="16" t="n">
        <v>4</v>
      </c>
      <c r="H87" s="16" t="n">
        <v>6</v>
      </c>
      <c r="I87" s="16" t="n">
        <v>3</v>
      </c>
      <c r="J87" s="16" t="n">
        <v>4</v>
      </c>
      <c r="K87" s="16" t="n">
        <v>5</v>
      </c>
      <c r="L87" s="16" t="n">
        <v>5</v>
      </c>
      <c r="M87" s="16" t="n">
        <v>4</v>
      </c>
      <c r="N87" s="17" t="s">
        <v>227</v>
      </c>
    </row>
    <row r="88" customFormat="false" ht="43.5" hidden="false" customHeight="true" outlineLevel="0" collapsed="false">
      <c r="A88" s="13" t="s">
        <v>215</v>
      </c>
      <c r="B88" s="14" t="s">
        <v>228</v>
      </c>
      <c r="C88" s="15" t="n">
        <f aca="false">AVERAGE(D88:M88)</f>
        <v>1.1</v>
      </c>
      <c r="D88" s="16" t="n">
        <v>1</v>
      </c>
      <c r="E88" s="16" t="n">
        <v>1</v>
      </c>
      <c r="F88" s="16" t="n">
        <v>1</v>
      </c>
      <c r="G88" s="16" t="n">
        <v>1</v>
      </c>
      <c r="H88" s="16" t="n">
        <v>2</v>
      </c>
      <c r="I88" s="16" t="n">
        <v>1</v>
      </c>
      <c r="J88" s="16" t="n">
        <v>1</v>
      </c>
      <c r="K88" s="16" t="n">
        <v>1</v>
      </c>
      <c r="L88" s="16" t="n">
        <v>1</v>
      </c>
      <c r="M88" s="16" t="n">
        <v>1</v>
      </c>
      <c r="N88" s="17" t="s">
        <v>229</v>
      </c>
    </row>
    <row r="89" customFormat="false" ht="43.5" hidden="false" customHeight="true" outlineLevel="0" collapsed="false">
      <c r="A89" s="13" t="s">
        <v>215</v>
      </c>
      <c r="B89" s="14" t="s">
        <v>230</v>
      </c>
      <c r="C89" s="15" t="n">
        <f aca="false">AVERAGE(D89:M89)</f>
        <v>2.3</v>
      </c>
      <c r="D89" s="16" t="n">
        <v>2</v>
      </c>
      <c r="E89" s="16" t="n">
        <v>3</v>
      </c>
      <c r="F89" s="16" t="n">
        <v>1</v>
      </c>
      <c r="G89" s="16" t="n">
        <v>2</v>
      </c>
      <c r="H89" s="16" t="n">
        <v>4</v>
      </c>
      <c r="I89" s="16" t="n">
        <v>1</v>
      </c>
      <c r="J89" s="16" t="n">
        <v>2</v>
      </c>
      <c r="K89" s="16" t="n">
        <v>3</v>
      </c>
      <c r="L89" s="16" t="n">
        <v>3</v>
      </c>
      <c r="M89" s="16" t="n">
        <v>2</v>
      </c>
      <c r="N89" s="17" t="s">
        <v>231</v>
      </c>
    </row>
    <row r="90" customFormat="false" ht="43.5" hidden="false" customHeight="true" outlineLevel="0" collapsed="false">
      <c r="A90" s="13" t="s">
        <v>215</v>
      </c>
      <c r="B90" s="14" t="s">
        <v>232</v>
      </c>
      <c r="C90" s="15" t="n">
        <f aca="false">AVERAGE(D90:M90)</f>
        <v>2.3</v>
      </c>
      <c r="D90" s="16" t="n">
        <v>2</v>
      </c>
      <c r="E90" s="16" t="n">
        <v>3</v>
      </c>
      <c r="F90" s="16" t="n">
        <v>1</v>
      </c>
      <c r="G90" s="16" t="n">
        <v>2</v>
      </c>
      <c r="H90" s="16" t="n">
        <v>4</v>
      </c>
      <c r="I90" s="16" t="n">
        <v>1</v>
      </c>
      <c r="J90" s="16" t="n">
        <v>2</v>
      </c>
      <c r="K90" s="16" t="n">
        <v>3</v>
      </c>
      <c r="L90" s="16" t="n">
        <v>3</v>
      </c>
      <c r="M90" s="16" t="n">
        <v>2</v>
      </c>
      <c r="N90" s="17" t="s">
        <v>233</v>
      </c>
    </row>
    <row r="91" customFormat="false" ht="43.5" hidden="false" customHeight="true" outlineLevel="0" collapsed="false">
      <c r="A91" s="13" t="s">
        <v>215</v>
      </c>
      <c r="B91" s="14" t="s">
        <v>234</v>
      </c>
      <c r="C91" s="15" t="n">
        <f aca="false">AVERAGE(D91:M91)</f>
        <v>1.1</v>
      </c>
      <c r="D91" s="16" t="n">
        <v>1</v>
      </c>
      <c r="E91" s="16" t="n">
        <v>1</v>
      </c>
      <c r="F91" s="16" t="n">
        <v>1</v>
      </c>
      <c r="G91" s="16" t="n">
        <v>1</v>
      </c>
      <c r="H91" s="16" t="n">
        <v>2</v>
      </c>
      <c r="I91" s="16" t="n">
        <v>1</v>
      </c>
      <c r="J91" s="16" t="n">
        <v>1</v>
      </c>
      <c r="K91" s="16" t="n">
        <v>1</v>
      </c>
      <c r="L91" s="16" t="n">
        <v>1</v>
      </c>
      <c r="M91" s="16" t="n">
        <v>1</v>
      </c>
      <c r="N91" s="17" t="s">
        <v>235</v>
      </c>
    </row>
    <row r="92" customFormat="false" ht="43.5" hidden="false" customHeight="true" outlineLevel="0" collapsed="false">
      <c r="A92" s="13" t="s">
        <v>236</v>
      </c>
      <c r="B92" s="14" t="s">
        <v>237</v>
      </c>
      <c r="C92" s="15" t="n">
        <f aca="false">AVERAGE(D92:M92)</f>
        <v>3.3</v>
      </c>
      <c r="D92" s="16" t="n">
        <v>4</v>
      </c>
      <c r="E92" s="16" t="n">
        <v>4</v>
      </c>
      <c r="F92" s="16" t="n">
        <v>4</v>
      </c>
      <c r="G92" s="16" t="n">
        <v>3</v>
      </c>
      <c r="H92" s="16" t="n">
        <v>3</v>
      </c>
      <c r="I92" s="16" t="n">
        <v>2</v>
      </c>
      <c r="J92" s="16" t="n">
        <v>3</v>
      </c>
      <c r="K92" s="16" t="n">
        <v>3</v>
      </c>
      <c r="L92" s="16" t="n">
        <v>4</v>
      </c>
      <c r="M92" s="16" t="n">
        <v>3</v>
      </c>
      <c r="N92" s="17" t="s">
        <v>238</v>
      </c>
    </row>
    <row r="93" customFormat="false" ht="43.5" hidden="false" customHeight="true" outlineLevel="0" collapsed="false">
      <c r="A93" s="13" t="s">
        <v>236</v>
      </c>
      <c r="B93" s="14" t="s">
        <v>239</v>
      </c>
      <c r="C93" s="15" t="n">
        <f aca="false">AVERAGE(D93:M93)</f>
        <v>3.3</v>
      </c>
      <c r="D93" s="16" t="n">
        <v>4</v>
      </c>
      <c r="E93" s="16" t="n">
        <v>4</v>
      </c>
      <c r="F93" s="16" t="n">
        <v>4</v>
      </c>
      <c r="G93" s="16" t="n">
        <v>3</v>
      </c>
      <c r="H93" s="16" t="n">
        <v>3</v>
      </c>
      <c r="I93" s="16" t="n">
        <v>2</v>
      </c>
      <c r="J93" s="16" t="n">
        <v>3</v>
      </c>
      <c r="K93" s="16" t="n">
        <v>3</v>
      </c>
      <c r="L93" s="16" t="n">
        <v>4</v>
      </c>
      <c r="M93" s="16" t="n">
        <v>3</v>
      </c>
      <c r="N93" s="17" t="s">
        <v>240</v>
      </c>
    </row>
    <row r="94" customFormat="false" ht="43.5" hidden="false" customHeight="true" outlineLevel="0" collapsed="false">
      <c r="A94" s="13" t="s">
        <v>236</v>
      </c>
      <c r="B94" s="14" t="s">
        <v>241</v>
      </c>
      <c r="C94" s="15" t="n">
        <f aca="false">AVERAGE(D94:M94)</f>
        <v>3.3</v>
      </c>
      <c r="D94" s="16" t="n">
        <v>4</v>
      </c>
      <c r="E94" s="16" t="n">
        <v>4</v>
      </c>
      <c r="F94" s="16" t="n">
        <v>4</v>
      </c>
      <c r="G94" s="16" t="n">
        <v>3</v>
      </c>
      <c r="H94" s="16" t="n">
        <v>3</v>
      </c>
      <c r="I94" s="16" t="n">
        <v>2</v>
      </c>
      <c r="J94" s="16" t="n">
        <v>3</v>
      </c>
      <c r="K94" s="16" t="n">
        <v>3</v>
      </c>
      <c r="L94" s="16" t="n">
        <v>4</v>
      </c>
      <c r="M94" s="16" t="n">
        <v>3</v>
      </c>
      <c r="N94" s="17" t="s">
        <v>242</v>
      </c>
    </row>
    <row r="95" customFormat="false" ht="43.5" hidden="false" customHeight="true" outlineLevel="0" collapsed="false">
      <c r="A95" s="13" t="s">
        <v>236</v>
      </c>
      <c r="B95" s="14" t="s">
        <v>243</v>
      </c>
      <c r="C95" s="15" t="n">
        <f aca="false">AVERAGE(D95:M95)</f>
        <v>3.3</v>
      </c>
      <c r="D95" s="16" t="n">
        <v>4</v>
      </c>
      <c r="E95" s="16" t="n">
        <v>4</v>
      </c>
      <c r="F95" s="16" t="n">
        <v>4</v>
      </c>
      <c r="G95" s="16" t="n">
        <v>3</v>
      </c>
      <c r="H95" s="16" t="n">
        <v>3</v>
      </c>
      <c r="I95" s="16" t="n">
        <v>2</v>
      </c>
      <c r="J95" s="16" t="n">
        <v>3</v>
      </c>
      <c r="K95" s="16" t="n">
        <v>3</v>
      </c>
      <c r="L95" s="16" t="n">
        <v>4</v>
      </c>
      <c r="M95" s="16" t="n">
        <v>3</v>
      </c>
      <c r="N95" s="17" t="s">
        <v>244</v>
      </c>
    </row>
    <row r="96" customFormat="false" ht="43.5" hidden="false" customHeight="true" outlineLevel="0" collapsed="false">
      <c r="A96" s="13" t="s">
        <v>236</v>
      </c>
      <c r="B96" s="14" t="s">
        <v>245</v>
      </c>
      <c r="C96" s="15" t="n">
        <f aca="false">AVERAGE(D96:M96)</f>
        <v>3.3</v>
      </c>
      <c r="D96" s="16" t="n">
        <v>4</v>
      </c>
      <c r="E96" s="16" t="n">
        <v>4</v>
      </c>
      <c r="F96" s="16" t="n">
        <v>4</v>
      </c>
      <c r="G96" s="16" t="n">
        <v>3</v>
      </c>
      <c r="H96" s="16" t="n">
        <v>3</v>
      </c>
      <c r="I96" s="16" t="n">
        <v>2</v>
      </c>
      <c r="J96" s="16" t="n">
        <v>3</v>
      </c>
      <c r="K96" s="16" t="n">
        <v>3</v>
      </c>
      <c r="L96" s="16" t="n">
        <v>4</v>
      </c>
      <c r="M96" s="16" t="n">
        <v>3</v>
      </c>
      <c r="N96" s="17" t="s">
        <v>246</v>
      </c>
    </row>
    <row r="97" customFormat="false" ht="43.5" hidden="false" customHeight="true" outlineLevel="0" collapsed="false">
      <c r="A97" s="13" t="s">
        <v>236</v>
      </c>
      <c r="B97" s="14" t="s">
        <v>247</v>
      </c>
      <c r="C97" s="15" t="n">
        <f aca="false">AVERAGE(D97:M97)</f>
        <v>3.3</v>
      </c>
      <c r="D97" s="16" t="n">
        <v>4</v>
      </c>
      <c r="E97" s="16" t="n">
        <v>4</v>
      </c>
      <c r="F97" s="16" t="n">
        <v>4</v>
      </c>
      <c r="G97" s="16" t="n">
        <v>3</v>
      </c>
      <c r="H97" s="16" t="n">
        <v>3</v>
      </c>
      <c r="I97" s="16" t="n">
        <v>2</v>
      </c>
      <c r="J97" s="16" t="n">
        <v>3</v>
      </c>
      <c r="K97" s="16" t="n">
        <v>3</v>
      </c>
      <c r="L97" s="16" t="n">
        <v>4</v>
      </c>
      <c r="M97" s="16" t="n">
        <v>3</v>
      </c>
      <c r="N97" s="17" t="s">
        <v>248</v>
      </c>
    </row>
    <row r="98" customFormat="false" ht="43.5" hidden="false" customHeight="true" outlineLevel="0" collapsed="false">
      <c r="A98" s="13" t="s">
        <v>236</v>
      </c>
      <c r="B98" s="14" t="s">
        <v>249</v>
      </c>
      <c r="C98" s="15" t="n">
        <f aca="false">AVERAGE(D98:M98)</f>
        <v>2.3</v>
      </c>
      <c r="D98" s="16" t="n">
        <v>3</v>
      </c>
      <c r="E98" s="16" t="n">
        <v>3</v>
      </c>
      <c r="F98" s="16" t="n">
        <v>3</v>
      </c>
      <c r="G98" s="16" t="n">
        <v>2</v>
      </c>
      <c r="H98" s="16" t="n">
        <v>2</v>
      </c>
      <c r="I98" s="16" t="n">
        <v>1</v>
      </c>
      <c r="J98" s="16" t="n">
        <v>2</v>
      </c>
      <c r="K98" s="16" t="n">
        <v>2</v>
      </c>
      <c r="L98" s="16" t="n">
        <v>3</v>
      </c>
      <c r="M98" s="16" t="n">
        <v>2</v>
      </c>
      <c r="N98" s="17" t="s">
        <v>250</v>
      </c>
    </row>
    <row r="99" customFormat="false" ht="43.5" hidden="false" customHeight="true" outlineLevel="0" collapsed="false">
      <c r="A99" s="13" t="s">
        <v>236</v>
      </c>
      <c r="B99" s="14" t="s">
        <v>251</v>
      </c>
      <c r="C99" s="15" t="n">
        <f aca="false">AVERAGE(D99:M99)</f>
        <v>2.3</v>
      </c>
      <c r="D99" s="16" t="n">
        <v>3</v>
      </c>
      <c r="E99" s="16" t="n">
        <v>3</v>
      </c>
      <c r="F99" s="16" t="n">
        <v>3</v>
      </c>
      <c r="G99" s="16" t="n">
        <v>2</v>
      </c>
      <c r="H99" s="16" t="n">
        <v>2</v>
      </c>
      <c r="I99" s="16" t="n">
        <v>1</v>
      </c>
      <c r="J99" s="16" t="n">
        <v>2</v>
      </c>
      <c r="K99" s="16" t="n">
        <v>2</v>
      </c>
      <c r="L99" s="16" t="n">
        <v>3</v>
      </c>
      <c r="M99" s="16" t="n">
        <v>2</v>
      </c>
      <c r="N99" s="17" t="s">
        <v>252</v>
      </c>
    </row>
    <row r="100" customFormat="false" ht="43.5" hidden="false" customHeight="true" outlineLevel="0" collapsed="false">
      <c r="A100" s="13" t="s">
        <v>236</v>
      </c>
      <c r="B100" s="14" t="s">
        <v>253</v>
      </c>
      <c r="C100" s="15" t="n">
        <f aca="false">AVERAGE(D100:M100)</f>
        <v>7.3</v>
      </c>
      <c r="D100" s="16" t="n">
        <v>8</v>
      </c>
      <c r="E100" s="16" t="n">
        <v>8</v>
      </c>
      <c r="F100" s="16" t="n">
        <v>8</v>
      </c>
      <c r="G100" s="16" t="n">
        <v>7</v>
      </c>
      <c r="H100" s="16" t="n">
        <v>7</v>
      </c>
      <c r="I100" s="16" t="n">
        <v>6</v>
      </c>
      <c r="J100" s="16" t="n">
        <v>7</v>
      </c>
      <c r="K100" s="16" t="n">
        <v>7</v>
      </c>
      <c r="L100" s="16" t="n">
        <v>8</v>
      </c>
      <c r="M100" s="16" t="n">
        <v>7</v>
      </c>
      <c r="N100" s="17" t="s">
        <v>254</v>
      </c>
    </row>
    <row r="101" customFormat="false" ht="43.5" hidden="false" customHeight="true" outlineLevel="0" collapsed="false">
      <c r="A101" s="13" t="s">
        <v>236</v>
      </c>
      <c r="B101" s="14" t="s">
        <v>255</v>
      </c>
      <c r="C101" s="15" t="n">
        <f aca="false">AVERAGE(D101:M101)</f>
        <v>4.3</v>
      </c>
      <c r="D101" s="16" t="n">
        <v>5</v>
      </c>
      <c r="E101" s="16" t="n">
        <v>5</v>
      </c>
      <c r="F101" s="16" t="n">
        <v>5</v>
      </c>
      <c r="G101" s="16" t="n">
        <v>4</v>
      </c>
      <c r="H101" s="16" t="n">
        <v>4</v>
      </c>
      <c r="I101" s="16" t="n">
        <v>3</v>
      </c>
      <c r="J101" s="16" t="n">
        <v>4</v>
      </c>
      <c r="K101" s="16" t="n">
        <v>4</v>
      </c>
      <c r="L101" s="16" t="n">
        <v>5</v>
      </c>
      <c r="M101" s="16" t="n">
        <v>4</v>
      </c>
      <c r="N101" s="17" t="s">
        <v>256</v>
      </c>
    </row>
  </sheetData>
  <conditionalFormatting sqref="C2:C101">
    <cfRule type="colorScale" priority="2">
      <colorScale>
        <cfvo type="num" val="1"/>
        <cfvo type="num" val="5.5"/>
        <cfvo type="num" val="10"/>
        <color rgb="FFF8696B"/>
        <color rgb="FFFFEB84"/>
        <color rgb="FF63BE7B"/>
      </colorScale>
    </cfRule>
  </conditionalFormatting>
  <conditionalFormatting sqref="D2:M101">
    <cfRule type="colorScale" priority="3">
      <colorScale>
        <cfvo type="num" val="1"/>
        <cfvo type="num" val="5.5"/>
        <cfvo type="num" val="1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14"/>
    <col collapsed="false" customWidth="true" hidden="false" outlineLevel="0" max="4" min="4" style="0" width="90"/>
  </cols>
  <sheetData>
    <row r="1" customFormat="false" ht="15" hidden="false" customHeight="false" outlineLevel="0" collapsed="false">
      <c r="A1" s="18" t="s">
        <v>257</v>
      </c>
      <c r="B1" s="18" t="s">
        <v>33</v>
      </c>
      <c r="C1" s="18" t="s">
        <v>258</v>
      </c>
      <c r="D1" s="18" t="s">
        <v>259</v>
      </c>
    </row>
    <row r="2" customFormat="false" ht="45.75" hidden="false" customHeight="true" outlineLevel="0" collapsed="false">
      <c r="A2" s="13" t="n">
        <v>1</v>
      </c>
      <c r="B2" s="14" t="s">
        <v>47</v>
      </c>
      <c r="C2" s="19" t="n">
        <f aca="false">AVERAGE('Full Rubric (1000)'!C2:C11)</f>
        <v>7.58</v>
      </c>
      <c r="D2" s="20" t="s">
        <v>260</v>
      </c>
    </row>
    <row r="3" customFormat="false" ht="45.75" hidden="false" customHeight="true" outlineLevel="0" collapsed="false">
      <c r="A3" s="13" t="n">
        <v>2</v>
      </c>
      <c r="B3" s="14" t="s">
        <v>68</v>
      </c>
      <c r="C3" s="19" t="n">
        <f aca="false">AVERAGE('Full Rubric (1000)'!C12:C21)</f>
        <v>6.19</v>
      </c>
      <c r="D3" s="20" t="s">
        <v>261</v>
      </c>
    </row>
    <row r="4" customFormat="false" ht="45.75" hidden="false" customHeight="true" outlineLevel="0" collapsed="false">
      <c r="A4" s="13" t="n">
        <v>3</v>
      </c>
      <c r="B4" s="14" t="s">
        <v>89</v>
      </c>
      <c r="C4" s="19" t="n">
        <f aca="false">AVERAGE('Full Rubric (1000)'!C22:C31)</f>
        <v>6.49</v>
      </c>
      <c r="D4" s="20" t="s">
        <v>262</v>
      </c>
    </row>
    <row r="5" customFormat="false" ht="45.75" hidden="false" customHeight="true" outlineLevel="0" collapsed="false">
      <c r="A5" s="13" t="n">
        <v>4</v>
      </c>
      <c r="B5" s="14" t="s">
        <v>110</v>
      </c>
      <c r="C5" s="19" t="n">
        <f aca="false">AVERAGE('Full Rubric (1000)'!C32:C41)</f>
        <v>6.49</v>
      </c>
      <c r="D5" s="20" t="s">
        <v>263</v>
      </c>
    </row>
    <row r="6" customFormat="false" ht="45.75" hidden="false" customHeight="true" outlineLevel="0" collapsed="false">
      <c r="A6" s="13" t="n">
        <v>5</v>
      </c>
      <c r="B6" s="14" t="s">
        <v>131</v>
      </c>
      <c r="C6" s="19" t="n">
        <f aca="false">AVERAGE('Full Rubric (1000)'!C42:C51)</f>
        <v>6.5</v>
      </c>
      <c r="D6" s="20" t="s">
        <v>264</v>
      </c>
    </row>
    <row r="7" customFormat="false" ht="45.75" hidden="false" customHeight="true" outlineLevel="0" collapsed="false">
      <c r="A7" s="13" t="n">
        <v>6</v>
      </c>
      <c r="B7" s="14" t="s">
        <v>152</v>
      </c>
      <c r="C7" s="19" t="n">
        <f aca="false">AVERAGE('Full Rubric (1000)'!C52:C61)</f>
        <v>7.07</v>
      </c>
      <c r="D7" s="20" t="s">
        <v>265</v>
      </c>
    </row>
    <row r="8" customFormat="false" ht="45.75" hidden="false" customHeight="true" outlineLevel="0" collapsed="false">
      <c r="A8" s="13" t="n">
        <v>7</v>
      </c>
      <c r="B8" s="14" t="s">
        <v>173</v>
      </c>
      <c r="C8" s="19" t="n">
        <f aca="false">AVERAGE('Full Rubric (1000)'!C62:C71)</f>
        <v>6.2</v>
      </c>
      <c r="D8" s="20" t="s">
        <v>266</v>
      </c>
    </row>
    <row r="9" customFormat="false" ht="45.75" hidden="false" customHeight="true" outlineLevel="0" collapsed="false">
      <c r="A9" s="13" t="n">
        <v>8</v>
      </c>
      <c r="B9" s="14" t="s">
        <v>194</v>
      </c>
      <c r="C9" s="19" t="n">
        <f aca="false">AVERAGE('Full Rubric (1000)'!C72:C81)</f>
        <v>6.6</v>
      </c>
      <c r="D9" s="20" t="s">
        <v>267</v>
      </c>
    </row>
    <row r="10" customFormat="false" ht="45.75" hidden="false" customHeight="true" outlineLevel="0" collapsed="false">
      <c r="A10" s="13" t="n">
        <v>9</v>
      </c>
      <c r="B10" s="14" t="s">
        <v>215</v>
      </c>
      <c r="C10" s="19" t="n">
        <f aca="false">AVERAGE('Full Rubric (1000)'!C82:C91)</f>
        <v>3.43</v>
      </c>
      <c r="D10" s="20" t="s">
        <v>268</v>
      </c>
    </row>
    <row r="11" customFormat="false" ht="45.75" hidden="false" customHeight="true" outlineLevel="0" collapsed="false">
      <c r="A11" s="13" t="n">
        <v>10</v>
      </c>
      <c r="B11" s="14" t="s">
        <v>236</v>
      </c>
      <c r="C11" s="19" t="n">
        <f aca="false">AVERAGE('Full Rubric (1000)'!C92:C101)</f>
        <v>3.6</v>
      </c>
      <c r="D11" s="20" t="s">
        <v>269</v>
      </c>
    </row>
    <row r="12" customFormat="false" ht="17.35" hidden="false" customHeight="false" outlineLevel="0" collapsed="false">
      <c r="B12" s="21" t="s">
        <v>270</v>
      </c>
      <c r="C12" s="22" t="n">
        <f aca="false">AVERAGE(C2:C11)</f>
        <v>6.015</v>
      </c>
    </row>
  </sheetData>
  <conditionalFormatting sqref="C2:C12">
    <cfRule type="colorScale" priority="2">
      <colorScale>
        <cfvo type="num" val="1"/>
        <cfvo type="num" val="5.5"/>
        <cfvo type="num" val="1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2026-09-14T22:44:27Z</dcterms:created>
  <dc:creator>openpyxl</dc:creator>
  <dc:description/>
  <dc:language>en-US</dc:language>
  <cp:lastModifiedBy/>
  <dcterms:modified xsi:type="dcterms:W3CDTF">2026-09-14T22:44:27Z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